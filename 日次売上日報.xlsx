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月" sheetId="1" state="visible" r:id="rId1"/>
    <sheet name="5月" sheetId="2" state="visible" r:id="rId2"/>
    <sheet name="6月" sheetId="3" state="visible" r:id="rId3"/>
    <sheet name="7月" sheetId="4" state="visible" r:id="rId4"/>
    <sheet name="8月" sheetId="5" state="visible" r:id="rId5"/>
    <sheet name="9月" sheetId="6" state="visible" r:id="rId6"/>
    <sheet name="10月" sheetId="7" state="visible" r:id="rId7"/>
    <sheet name="11月" sheetId="8" state="visible" r:id="rId8"/>
    <sheet name="12月" sheetId="9" state="visible" r:id="rId9"/>
    <sheet name="1月" sheetId="10" state="visible" r:id="rId10"/>
    <sheet name="2月" sheetId="11" state="visible" r:id="rId11"/>
    <sheet name="3月" sheetId="12" state="visible" r:id="rId12"/>
  </sheets>
  <definedNames>
    <definedName name="_xlnm.Print_Titles" localSheetId="0">'4月'!$1:$3</definedName>
    <definedName name="_xlnm.Print_Titles" localSheetId="1">'5月'!$1:$3</definedName>
    <definedName name="_xlnm.Print_Titles" localSheetId="2">'6月'!$1:$3</definedName>
    <definedName name="_xlnm.Print_Titles" localSheetId="3">'7月'!$1:$3</definedName>
    <definedName name="_xlnm.Print_Titles" localSheetId="4">'8月'!$1:$3</definedName>
    <definedName name="_xlnm.Print_Titles" localSheetId="5">'9月'!$1:$3</definedName>
    <definedName name="_xlnm.Print_Titles" localSheetId="6">'10月'!$1:$3</definedName>
    <definedName name="_xlnm.Print_Titles" localSheetId="7">'11月'!$1:$3</definedName>
    <definedName name="_xlnm.Print_Titles" localSheetId="8">'12月'!$1:$3</definedName>
    <definedName name="_xlnm.Print_Titles" localSheetId="9">'1月'!$1:$3</definedName>
    <definedName name="_xlnm.Print_Titles" localSheetId="10">'2月'!$1:$3</definedName>
    <definedName name="_xlnm.Print_Titles" localSheetId="11">'3月'!$1:$3</definedName>
  </definedNames>
  <calcPr calcId="124519" fullCalcOnLoad="1"/>
</workbook>
</file>

<file path=xl/styles.xml><?xml version="1.0" encoding="utf-8"?>
<styleSheet xmlns="http://schemas.openxmlformats.org/spreadsheetml/2006/main">
  <numFmts count="4">
    <numFmt numFmtId="164" formatCode="yyyy-mm-dd"/>
    <numFmt numFmtId="165" formatCode="M/D"/>
    <numFmt numFmtId="166" formatCode="0.0"/>
    <numFmt numFmtId="167" formatCode="0.0%"/>
  </numFmts>
  <fonts count="14">
    <font>
      <name val="Calibri"/>
      <family val="2"/>
      <color theme="1"/>
      <sz val="11"/>
      <scheme val="minor"/>
    </font>
    <font>
      <name val="Arial"/>
      <b val="1"/>
      <color rgb="00FFFFFF"/>
      <sz val="14"/>
    </font>
    <font>
      <name val="Arial"/>
      <b val="1"/>
      <color rgb="00FFFFFF"/>
      <sz val="9"/>
    </font>
    <font>
      <name val="Arial"/>
      <b val="1"/>
      <color rgb="00FFFFFF"/>
      <sz val="8"/>
    </font>
    <font>
      <name val="Arial"/>
      <b val="1"/>
      <color rgb="00375623"/>
      <sz val="8"/>
    </font>
    <font>
      <name val="Arial"/>
      <color rgb="007F7F7F"/>
      <sz val="8"/>
    </font>
    <font>
      <name val="Arial"/>
      <color rgb="00000000"/>
      <sz val="9"/>
    </font>
    <font>
      <name val="Arial"/>
      <b val="1"/>
      <color rgb="00000000"/>
      <sz val="9"/>
    </font>
    <font>
      <name val="Arial"/>
      <b val="1"/>
      <color rgb="00000000"/>
      <sz val="10"/>
    </font>
    <font>
      <name val="Arial"/>
      <b val="1"/>
      <color rgb="00000000"/>
      <sz val="8"/>
    </font>
    <font>
      <name val="Arial"/>
      <color rgb="002E75B6"/>
      <sz val="8"/>
    </font>
    <font>
      <name val="Arial"/>
      <color rgb="00CC0000"/>
      <sz val="8"/>
    </font>
    <font>
      <name val="Arial"/>
      <color rgb="00375623"/>
      <sz val="8"/>
    </font>
    <font>
      <name val="Arial"/>
      <color rgb="00555555"/>
      <sz val="8"/>
    </font>
  </fonts>
  <fills count="11">
    <fill>
      <patternFill/>
    </fill>
    <fill>
      <patternFill patternType="gray125"/>
    </fill>
    <fill>
      <patternFill patternType="solid">
        <fgColor rgb="001F4E79"/>
      </patternFill>
    </fill>
    <fill>
      <patternFill patternType="solid">
        <fgColor rgb="002E75B6"/>
      </patternFill>
    </fill>
    <fill>
      <patternFill patternType="solid">
        <fgColor rgb="00375623"/>
      </patternFill>
    </fill>
    <fill>
      <patternFill patternType="solid">
        <fgColor rgb="007F7F7F"/>
      </patternFill>
    </fill>
    <fill>
      <patternFill patternType="solid">
        <fgColor rgb="00FFFFFF"/>
      </patternFill>
    </fill>
    <fill>
      <patternFill patternType="solid">
        <fgColor rgb="00F2F7FC"/>
      </patternFill>
    </fill>
    <fill>
      <patternFill patternType="solid">
        <fgColor rgb="00DDEEFF"/>
      </patternFill>
    </fill>
    <fill>
      <patternFill patternType="solid">
        <fgColor rgb="00FFE5E5"/>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4" fillId="0" borderId="0" pivotButton="0" quotePrefix="0" xfId="0"/>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165" fontId="6" fillId="6" borderId="1" applyAlignment="1" pivotButton="0" quotePrefix="0" xfId="0">
      <alignment horizontal="center" vertical="center"/>
    </xf>
    <xf numFmtId="0" fontId="6" fillId="6" borderId="1" applyAlignment="1" pivotButton="0" quotePrefix="0" xfId="0">
      <alignment horizontal="center" vertical="center"/>
    </xf>
    <xf numFmtId="166" fontId="6" fillId="6" borderId="1" applyAlignment="1" pivotButton="0" quotePrefix="0" xfId="0">
      <alignment horizontal="center" vertical="center"/>
    </xf>
    <xf numFmtId="3" fontId="6" fillId="6" borderId="1" applyAlignment="1" pivotButton="0" quotePrefix="0" xfId="0">
      <alignment horizontal="right" vertical="center"/>
    </xf>
    <xf numFmtId="167" fontId="6" fillId="6" borderId="1" applyAlignment="1" pivotButton="0" quotePrefix="0" xfId="0">
      <alignment horizontal="center" vertical="center"/>
    </xf>
    <xf numFmtId="10" fontId="6" fillId="6" borderId="1" applyAlignment="1" pivotButton="0" quotePrefix="0" xfId="0">
      <alignment horizontal="center" vertical="center"/>
    </xf>
    <xf numFmtId="165" fontId="6" fillId="7" borderId="1" applyAlignment="1" pivotButton="0" quotePrefix="0" xfId="0">
      <alignment horizontal="center" vertical="center"/>
    </xf>
    <xf numFmtId="0" fontId="6" fillId="7" borderId="1" applyAlignment="1" pivotButton="0" quotePrefix="0" xfId="0">
      <alignment horizontal="center" vertical="center"/>
    </xf>
    <xf numFmtId="166" fontId="6" fillId="7" borderId="1" applyAlignment="1" pivotButton="0" quotePrefix="0" xfId="0">
      <alignment horizontal="center" vertical="center"/>
    </xf>
    <xf numFmtId="3" fontId="6" fillId="7" borderId="1" applyAlignment="1" pivotButton="0" quotePrefix="0" xfId="0">
      <alignment horizontal="right" vertical="center"/>
    </xf>
    <xf numFmtId="167" fontId="6" fillId="7" borderId="1" applyAlignment="1" pivotButton="0" quotePrefix="0" xfId="0">
      <alignment horizontal="center" vertical="center"/>
    </xf>
    <xf numFmtId="10" fontId="6" fillId="7" borderId="1" applyAlignment="1" pivotButton="0" quotePrefix="0" xfId="0">
      <alignment horizontal="center" vertical="center"/>
    </xf>
    <xf numFmtId="165" fontId="6" fillId="8" borderId="1" applyAlignment="1" pivotButton="0" quotePrefix="0" xfId="0">
      <alignment horizontal="center" vertical="center"/>
    </xf>
    <xf numFmtId="0" fontId="7" fillId="8" borderId="1" applyAlignment="1" pivotButton="0" quotePrefix="0" xfId="0">
      <alignment horizontal="center" vertical="center"/>
    </xf>
    <xf numFmtId="0" fontId="6" fillId="8" borderId="1" applyAlignment="1" pivotButton="0" quotePrefix="0" xfId="0">
      <alignment horizontal="center" vertical="center"/>
    </xf>
    <xf numFmtId="166" fontId="6" fillId="8" borderId="1" applyAlignment="1" pivotButton="0" quotePrefix="0" xfId="0">
      <alignment horizontal="center" vertical="center"/>
    </xf>
    <xf numFmtId="3" fontId="6" fillId="8" borderId="1" applyAlignment="1" pivotButton="0" quotePrefix="0" xfId="0">
      <alignment horizontal="right" vertical="center"/>
    </xf>
    <xf numFmtId="167" fontId="6" fillId="8" borderId="1" applyAlignment="1" pivotButton="0" quotePrefix="0" xfId="0">
      <alignment horizontal="center" vertical="center"/>
    </xf>
    <xf numFmtId="10" fontId="6" fillId="8" borderId="1" applyAlignment="1" pivotButton="0" quotePrefix="0" xfId="0">
      <alignment horizontal="center" vertical="center"/>
    </xf>
    <xf numFmtId="165" fontId="6" fillId="9" borderId="1" applyAlignment="1" pivotButton="0" quotePrefix="0" xfId="0">
      <alignment horizontal="center" vertical="center"/>
    </xf>
    <xf numFmtId="0" fontId="7" fillId="9" borderId="1" applyAlignment="1" pivotButton="0" quotePrefix="0" xfId="0">
      <alignment horizontal="center" vertical="center"/>
    </xf>
    <xf numFmtId="0" fontId="6" fillId="9" borderId="1" applyAlignment="1" pivotButton="0" quotePrefix="0" xfId="0">
      <alignment horizontal="center" vertical="center"/>
    </xf>
    <xf numFmtId="166" fontId="6" fillId="9" borderId="1" applyAlignment="1" pivotButton="0" quotePrefix="0" xfId="0">
      <alignment horizontal="center" vertical="center"/>
    </xf>
    <xf numFmtId="3" fontId="6" fillId="9" borderId="1" applyAlignment="1" pivotButton="0" quotePrefix="0" xfId="0">
      <alignment horizontal="right" vertical="center"/>
    </xf>
    <xf numFmtId="167" fontId="6" fillId="9" borderId="1" applyAlignment="1" pivotButton="0" quotePrefix="0" xfId="0">
      <alignment horizontal="center" vertical="center"/>
    </xf>
    <xf numFmtId="10" fontId="6" fillId="9" borderId="1" applyAlignment="1" pivotButton="0" quotePrefix="0" xfId="0">
      <alignment horizontal="center" vertical="center"/>
    </xf>
    <xf numFmtId="0" fontId="8" fillId="10" borderId="1" applyAlignment="1" pivotButton="0" quotePrefix="0" xfId="0">
      <alignment horizontal="center" vertical="center"/>
    </xf>
    <xf numFmtId="3" fontId="8" fillId="10" borderId="1" applyAlignment="1" pivotButton="0" quotePrefix="0" xfId="0">
      <alignment horizontal="right" vertical="center"/>
    </xf>
    <xf numFmtId="167" fontId="8" fillId="10" borderId="1" applyAlignment="1" pivotButton="0" quotePrefix="0" xfId="0">
      <alignment horizontal="center" vertical="center"/>
    </xf>
    <xf numFmtId="10" fontId="8" fillId="10" borderId="1" applyAlignment="1" pivotButton="0" quotePrefix="0" xfId="0">
      <alignment horizontal="center" vertical="center"/>
    </xf>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0"/>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4月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46113</v>
      </c>
      <c r="B4" s="9" t="inlineStr">
        <is>
          <t>水</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14" t="n">
        <v>46114</v>
      </c>
      <c r="B5" s="15" t="inlineStr">
        <is>
          <t>木</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8" t="n">
        <v>46115</v>
      </c>
      <c r="B6" s="9" t="inlineStr">
        <is>
          <t>金</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20" t="n">
        <v>46116</v>
      </c>
      <c r="B7" s="21" t="inlineStr">
        <is>
          <t>土</t>
        </is>
      </c>
      <c r="C7" s="22" t="n"/>
      <c r="D7" s="23" t="n"/>
      <c r="E7" s="24" t="n"/>
      <c r="F7" s="24">
        <f>SUM(E4:E7)</f>
        <v/>
      </c>
      <c r="G7" s="24" t="n"/>
      <c r="H7" s="24">
        <f>SUM(G4:G7)</f>
        <v/>
      </c>
      <c r="I7" s="25">
        <f>IF(E7=0,"",G7/E7)</f>
        <v/>
      </c>
      <c r="J7" s="24">
        <f>ROUND(G7*0.1,0)</f>
        <v/>
      </c>
      <c r="K7" s="24">
        <f>G7+J7</f>
        <v/>
      </c>
      <c r="L7" s="24" t="n"/>
      <c r="M7" s="24">
        <f>SUM(L4:L7)</f>
        <v/>
      </c>
      <c r="N7" s="24">
        <f>IF(L7=0,"",ROUND(G7/L7,0))</f>
        <v/>
      </c>
      <c r="O7" s="24" t="n"/>
      <c r="P7" s="24">
        <f>SUM(O4:O7)</f>
        <v/>
      </c>
      <c r="Q7" s="24" t="n"/>
      <c r="R7" s="24" t="n"/>
      <c r="S7" s="24" t="n"/>
      <c r="T7" s="24">
        <f>Q7+R7+S7</f>
        <v/>
      </c>
      <c r="U7" s="24">
        <f>SUM(T4:T7)</f>
        <v/>
      </c>
      <c r="V7" s="26">
        <f>IF(SUM(K4:K7)=0,"",U7/SUM(K4:K7))</f>
        <v/>
      </c>
    </row>
    <row r="8" ht="18" customHeight="1">
      <c r="A8" s="27" t="n">
        <v>46117</v>
      </c>
      <c r="B8" s="28" t="inlineStr">
        <is>
          <t>日</t>
        </is>
      </c>
      <c r="C8" s="29" t="n"/>
      <c r="D8" s="30" t="n"/>
      <c r="E8" s="31" t="n"/>
      <c r="F8" s="31">
        <f>SUM(E4:E8)</f>
        <v/>
      </c>
      <c r="G8" s="31" t="n"/>
      <c r="H8" s="31">
        <f>SUM(G4:G8)</f>
        <v/>
      </c>
      <c r="I8" s="32">
        <f>IF(E8=0,"",G8/E8)</f>
        <v/>
      </c>
      <c r="J8" s="31">
        <f>ROUND(G8*0.1,0)</f>
        <v/>
      </c>
      <c r="K8" s="31">
        <f>G8+J8</f>
        <v/>
      </c>
      <c r="L8" s="31" t="n"/>
      <c r="M8" s="31">
        <f>SUM(L4:L8)</f>
        <v/>
      </c>
      <c r="N8" s="31">
        <f>IF(L8=0,"",ROUND(G8/L8,0))</f>
        <v/>
      </c>
      <c r="O8" s="31" t="n"/>
      <c r="P8" s="31">
        <f>SUM(O4:O8)</f>
        <v/>
      </c>
      <c r="Q8" s="31" t="n"/>
      <c r="R8" s="31" t="n"/>
      <c r="S8" s="31" t="n"/>
      <c r="T8" s="31">
        <f>Q8+R8+S8</f>
        <v/>
      </c>
      <c r="U8" s="31">
        <f>SUM(T4:T8)</f>
        <v/>
      </c>
      <c r="V8" s="33">
        <f>IF(SUM(K4:K8)=0,"",U8/SUM(K4:K8))</f>
        <v/>
      </c>
    </row>
    <row r="9" ht="18" customHeight="1">
      <c r="A9" s="14" t="n">
        <v>46118</v>
      </c>
      <c r="B9" s="15" t="inlineStr">
        <is>
          <t>月</t>
        </is>
      </c>
      <c r="C9" s="15" t="n"/>
      <c r="D9" s="16" t="n"/>
      <c r="E9" s="17" t="n"/>
      <c r="F9" s="17">
        <f>SUM(E4:E9)</f>
        <v/>
      </c>
      <c r="G9" s="17" t="n"/>
      <c r="H9" s="17">
        <f>SUM(G4:G9)</f>
        <v/>
      </c>
      <c r="I9" s="18">
        <f>IF(E9=0,"",G9/E9)</f>
        <v/>
      </c>
      <c r="J9" s="17">
        <f>ROUND(G9*0.1,0)</f>
        <v/>
      </c>
      <c r="K9" s="17">
        <f>G9+J9</f>
        <v/>
      </c>
      <c r="L9" s="17" t="n"/>
      <c r="M9" s="17">
        <f>SUM(L4:L9)</f>
        <v/>
      </c>
      <c r="N9" s="17">
        <f>IF(L9=0,"",ROUND(G9/L9,0))</f>
        <v/>
      </c>
      <c r="O9" s="17" t="n"/>
      <c r="P9" s="17">
        <f>SUM(O4:O9)</f>
        <v/>
      </c>
      <c r="Q9" s="17" t="n"/>
      <c r="R9" s="17" t="n"/>
      <c r="S9" s="17" t="n"/>
      <c r="T9" s="17">
        <f>Q9+R9+S9</f>
        <v/>
      </c>
      <c r="U9" s="17">
        <f>SUM(T4:T9)</f>
        <v/>
      </c>
      <c r="V9" s="19">
        <f>IF(SUM(K4:K9)=0,"",U9/SUM(K4:K9))</f>
        <v/>
      </c>
    </row>
    <row r="10" ht="18" customHeight="1">
      <c r="A10" s="8" t="n">
        <v>46119</v>
      </c>
      <c r="B10" s="9" t="inlineStr">
        <is>
          <t>火</t>
        </is>
      </c>
      <c r="C10" s="9" t="n"/>
      <c r="D10" s="10" t="n"/>
      <c r="E10" s="11" t="n"/>
      <c r="F10" s="11">
        <f>SUM(E4:E10)</f>
        <v/>
      </c>
      <c r="G10" s="11" t="n"/>
      <c r="H10" s="11">
        <f>SUM(G4:G10)</f>
        <v/>
      </c>
      <c r="I10" s="12">
        <f>IF(E10=0,"",G10/E10)</f>
        <v/>
      </c>
      <c r="J10" s="11">
        <f>ROUND(G10*0.1,0)</f>
        <v/>
      </c>
      <c r="K10" s="11">
        <f>G10+J10</f>
        <v/>
      </c>
      <c r="L10" s="11" t="n"/>
      <c r="M10" s="11">
        <f>SUM(L4:L10)</f>
        <v/>
      </c>
      <c r="N10" s="11">
        <f>IF(L10=0,"",ROUND(G10/L10,0))</f>
        <v/>
      </c>
      <c r="O10" s="11" t="n"/>
      <c r="P10" s="11">
        <f>SUM(O4:O10)</f>
        <v/>
      </c>
      <c r="Q10" s="11" t="n"/>
      <c r="R10" s="11" t="n"/>
      <c r="S10" s="11" t="n"/>
      <c r="T10" s="11">
        <f>Q10+R10+S10</f>
        <v/>
      </c>
      <c r="U10" s="11">
        <f>SUM(T4:T10)</f>
        <v/>
      </c>
      <c r="V10" s="13">
        <f>IF(SUM(K4:K10)=0,"",U10/SUM(K4:K10))</f>
        <v/>
      </c>
    </row>
    <row r="11" ht="18" customHeight="1">
      <c r="A11" s="14" t="n">
        <v>46120</v>
      </c>
      <c r="B11" s="15" t="inlineStr">
        <is>
          <t>水</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8" t="n">
        <v>46121</v>
      </c>
      <c r="B12" s="9" t="inlineStr">
        <is>
          <t>木</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14" t="n">
        <v>46122</v>
      </c>
      <c r="B13" s="15" t="inlineStr">
        <is>
          <t>金</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20" t="n">
        <v>46123</v>
      </c>
      <c r="B14" s="21" t="inlineStr">
        <is>
          <t>土</t>
        </is>
      </c>
      <c r="C14" s="22" t="n"/>
      <c r="D14" s="23" t="n"/>
      <c r="E14" s="24" t="n"/>
      <c r="F14" s="24">
        <f>SUM(E4:E14)</f>
        <v/>
      </c>
      <c r="G14" s="24" t="n"/>
      <c r="H14" s="24">
        <f>SUM(G4:G14)</f>
        <v/>
      </c>
      <c r="I14" s="25">
        <f>IF(E14=0,"",G14/E14)</f>
        <v/>
      </c>
      <c r="J14" s="24">
        <f>ROUND(G14*0.1,0)</f>
        <v/>
      </c>
      <c r="K14" s="24">
        <f>G14+J14</f>
        <v/>
      </c>
      <c r="L14" s="24" t="n"/>
      <c r="M14" s="24">
        <f>SUM(L4:L14)</f>
        <v/>
      </c>
      <c r="N14" s="24">
        <f>IF(L14=0,"",ROUND(G14/L14,0))</f>
        <v/>
      </c>
      <c r="O14" s="24" t="n"/>
      <c r="P14" s="24">
        <f>SUM(O4:O14)</f>
        <v/>
      </c>
      <c r="Q14" s="24" t="n"/>
      <c r="R14" s="24" t="n"/>
      <c r="S14" s="24" t="n"/>
      <c r="T14" s="24">
        <f>Q14+R14+S14</f>
        <v/>
      </c>
      <c r="U14" s="24">
        <f>SUM(T4:T14)</f>
        <v/>
      </c>
      <c r="V14" s="26">
        <f>IF(SUM(K4:K14)=0,"",U14/SUM(K4:K14))</f>
        <v/>
      </c>
    </row>
    <row r="15" ht="18" customHeight="1">
      <c r="A15" s="27" t="n">
        <v>46124</v>
      </c>
      <c r="B15" s="28" t="inlineStr">
        <is>
          <t>日</t>
        </is>
      </c>
      <c r="C15" s="29" t="n"/>
      <c r="D15" s="30" t="n"/>
      <c r="E15" s="31" t="n"/>
      <c r="F15" s="31">
        <f>SUM(E4:E15)</f>
        <v/>
      </c>
      <c r="G15" s="31" t="n"/>
      <c r="H15" s="31">
        <f>SUM(G4:G15)</f>
        <v/>
      </c>
      <c r="I15" s="32">
        <f>IF(E15=0,"",G15/E15)</f>
        <v/>
      </c>
      <c r="J15" s="31">
        <f>ROUND(G15*0.1,0)</f>
        <v/>
      </c>
      <c r="K15" s="31">
        <f>G15+J15</f>
        <v/>
      </c>
      <c r="L15" s="31" t="n"/>
      <c r="M15" s="31">
        <f>SUM(L4:L15)</f>
        <v/>
      </c>
      <c r="N15" s="31">
        <f>IF(L15=0,"",ROUND(G15/L15,0))</f>
        <v/>
      </c>
      <c r="O15" s="31" t="n"/>
      <c r="P15" s="31">
        <f>SUM(O4:O15)</f>
        <v/>
      </c>
      <c r="Q15" s="31" t="n"/>
      <c r="R15" s="31" t="n"/>
      <c r="S15" s="31" t="n"/>
      <c r="T15" s="31">
        <f>Q15+R15+S15</f>
        <v/>
      </c>
      <c r="U15" s="31">
        <f>SUM(T4:T15)</f>
        <v/>
      </c>
      <c r="V15" s="33">
        <f>IF(SUM(K4:K15)=0,"",U15/SUM(K4:K15))</f>
        <v/>
      </c>
    </row>
    <row r="16" ht="18" customHeight="1">
      <c r="A16" s="8" t="n">
        <v>46125</v>
      </c>
      <c r="B16" s="9" t="inlineStr">
        <is>
          <t>月</t>
        </is>
      </c>
      <c r="C16" s="9" t="n"/>
      <c r="D16" s="10" t="n"/>
      <c r="E16" s="11" t="n"/>
      <c r="F16" s="11">
        <f>SUM(E4:E16)</f>
        <v/>
      </c>
      <c r="G16" s="11" t="n"/>
      <c r="H16" s="11">
        <f>SUM(G4:G16)</f>
        <v/>
      </c>
      <c r="I16" s="12">
        <f>IF(E16=0,"",G16/E16)</f>
        <v/>
      </c>
      <c r="J16" s="11">
        <f>ROUND(G16*0.1,0)</f>
        <v/>
      </c>
      <c r="K16" s="11">
        <f>G16+J16</f>
        <v/>
      </c>
      <c r="L16" s="11" t="n"/>
      <c r="M16" s="11">
        <f>SUM(L4:L16)</f>
        <v/>
      </c>
      <c r="N16" s="11">
        <f>IF(L16=0,"",ROUND(G16/L16,0))</f>
        <v/>
      </c>
      <c r="O16" s="11" t="n"/>
      <c r="P16" s="11">
        <f>SUM(O4:O16)</f>
        <v/>
      </c>
      <c r="Q16" s="11" t="n"/>
      <c r="R16" s="11" t="n"/>
      <c r="S16" s="11" t="n"/>
      <c r="T16" s="11">
        <f>Q16+R16+S16</f>
        <v/>
      </c>
      <c r="U16" s="11">
        <f>SUM(T4:T16)</f>
        <v/>
      </c>
      <c r="V16" s="13">
        <f>IF(SUM(K4:K16)=0,"",U16/SUM(K4:K16))</f>
        <v/>
      </c>
    </row>
    <row r="17" ht="18" customHeight="1">
      <c r="A17" s="14" t="n">
        <v>46126</v>
      </c>
      <c r="B17" s="15" t="inlineStr">
        <is>
          <t>火</t>
        </is>
      </c>
      <c r="C17" s="15" t="n"/>
      <c r="D17" s="16" t="n"/>
      <c r="E17" s="17" t="n"/>
      <c r="F17" s="17">
        <f>SUM(E4:E17)</f>
        <v/>
      </c>
      <c r="G17" s="17" t="n"/>
      <c r="H17" s="17">
        <f>SUM(G4:G17)</f>
        <v/>
      </c>
      <c r="I17" s="18">
        <f>IF(E17=0,"",G17/E17)</f>
        <v/>
      </c>
      <c r="J17" s="17">
        <f>ROUND(G17*0.1,0)</f>
        <v/>
      </c>
      <c r="K17" s="17">
        <f>G17+J17</f>
        <v/>
      </c>
      <c r="L17" s="17" t="n"/>
      <c r="M17" s="17">
        <f>SUM(L4:L17)</f>
        <v/>
      </c>
      <c r="N17" s="17">
        <f>IF(L17=0,"",ROUND(G17/L17,0))</f>
        <v/>
      </c>
      <c r="O17" s="17" t="n"/>
      <c r="P17" s="17">
        <f>SUM(O4:O17)</f>
        <v/>
      </c>
      <c r="Q17" s="17" t="n"/>
      <c r="R17" s="17" t="n"/>
      <c r="S17" s="17" t="n"/>
      <c r="T17" s="17">
        <f>Q17+R17+S17</f>
        <v/>
      </c>
      <c r="U17" s="17">
        <f>SUM(T4:T17)</f>
        <v/>
      </c>
      <c r="V17" s="19">
        <f>IF(SUM(K4:K17)=0,"",U17/SUM(K4:K17))</f>
        <v/>
      </c>
    </row>
    <row r="18" ht="18" customHeight="1">
      <c r="A18" s="8" t="n">
        <v>46127</v>
      </c>
      <c r="B18" s="9" t="inlineStr">
        <is>
          <t>水</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14" t="n">
        <v>46128</v>
      </c>
      <c r="B19" s="15" t="inlineStr">
        <is>
          <t>木</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8" t="n">
        <v>46129</v>
      </c>
      <c r="B20" s="9" t="inlineStr">
        <is>
          <t>金</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20" t="n">
        <v>46130</v>
      </c>
      <c r="B21" s="21" t="inlineStr">
        <is>
          <t>土</t>
        </is>
      </c>
      <c r="C21" s="22" t="n"/>
      <c r="D21" s="23" t="n"/>
      <c r="E21" s="24" t="n"/>
      <c r="F21" s="24">
        <f>SUM(E4:E21)</f>
        <v/>
      </c>
      <c r="G21" s="24" t="n"/>
      <c r="H21" s="24">
        <f>SUM(G4:G21)</f>
        <v/>
      </c>
      <c r="I21" s="25">
        <f>IF(E21=0,"",G21/E21)</f>
        <v/>
      </c>
      <c r="J21" s="24">
        <f>ROUND(G21*0.1,0)</f>
        <v/>
      </c>
      <c r="K21" s="24">
        <f>G21+J21</f>
        <v/>
      </c>
      <c r="L21" s="24" t="n"/>
      <c r="M21" s="24">
        <f>SUM(L4:L21)</f>
        <v/>
      </c>
      <c r="N21" s="24">
        <f>IF(L21=0,"",ROUND(G21/L21,0))</f>
        <v/>
      </c>
      <c r="O21" s="24" t="n"/>
      <c r="P21" s="24">
        <f>SUM(O4:O21)</f>
        <v/>
      </c>
      <c r="Q21" s="24" t="n"/>
      <c r="R21" s="24" t="n"/>
      <c r="S21" s="24" t="n"/>
      <c r="T21" s="24">
        <f>Q21+R21+S21</f>
        <v/>
      </c>
      <c r="U21" s="24">
        <f>SUM(T4:T21)</f>
        <v/>
      </c>
      <c r="V21" s="26">
        <f>IF(SUM(K4:K21)=0,"",U21/SUM(K4:K21))</f>
        <v/>
      </c>
    </row>
    <row r="22" ht="18" customHeight="1">
      <c r="A22" s="27" t="n">
        <v>46131</v>
      </c>
      <c r="B22" s="28" t="inlineStr">
        <is>
          <t>日</t>
        </is>
      </c>
      <c r="C22" s="29" t="n"/>
      <c r="D22" s="30" t="n"/>
      <c r="E22" s="31" t="n"/>
      <c r="F22" s="31">
        <f>SUM(E4:E22)</f>
        <v/>
      </c>
      <c r="G22" s="31" t="n"/>
      <c r="H22" s="31">
        <f>SUM(G4:G22)</f>
        <v/>
      </c>
      <c r="I22" s="32">
        <f>IF(E22=0,"",G22/E22)</f>
        <v/>
      </c>
      <c r="J22" s="31">
        <f>ROUND(G22*0.1,0)</f>
        <v/>
      </c>
      <c r="K22" s="31">
        <f>G22+J22</f>
        <v/>
      </c>
      <c r="L22" s="31" t="n"/>
      <c r="M22" s="31">
        <f>SUM(L4:L22)</f>
        <v/>
      </c>
      <c r="N22" s="31">
        <f>IF(L22=0,"",ROUND(G22/L22,0))</f>
        <v/>
      </c>
      <c r="O22" s="31" t="n"/>
      <c r="P22" s="31">
        <f>SUM(O4:O22)</f>
        <v/>
      </c>
      <c r="Q22" s="31" t="n"/>
      <c r="R22" s="31" t="n"/>
      <c r="S22" s="31" t="n"/>
      <c r="T22" s="31">
        <f>Q22+R22+S22</f>
        <v/>
      </c>
      <c r="U22" s="31">
        <f>SUM(T4:T22)</f>
        <v/>
      </c>
      <c r="V22" s="33">
        <f>IF(SUM(K4:K22)=0,"",U22/SUM(K4:K22))</f>
        <v/>
      </c>
    </row>
    <row r="23" ht="18" customHeight="1">
      <c r="A23" s="14" t="n">
        <v>46132</v>
      </c>
      <c r="B23" s="15" t="inlineStr">
        <is>
          <t>月</t>
        </is>
      </c>
      <c r="C23" s="15" t="n"/>
      <c r="D23" s="16" t="n"/>
      <c r="E23" s="17" t="n"/>
      <c r="F23" s="17">
        <f>SUM(E4:E23)</f>
        <v/>
      </c>
      <c r="G23" s="17" t="n"/>
      <c r="H23" s="17">
        <f>SUM(G4:G23)</f>
        <v/>
      </c>
      <c r="I23" s="18">
        <f>IF(E23=0,"",G23/E23)</f>
        <v/>
      </c>
      <c r="J23" s="17">
        <f>ROUND(G23*0.1,0)</f>
        <v/>
      </c>
      <c r="K23" s="17">
        <f>G23+J23</f>
        <v/>
      </c>
      <c r="L23" s="17" t="n"/>
      <c r="M23" s="17">
        <f>SUM(L4:L23)</f>
        <v/>
      </c>
      <c r="N23" s="17">
        <f>IF(L23=0,"",ROUND(G23/L23,0))</f>
        <v/>
      </c>
      <c r="O23" s="17" t="n"/>
      <c r="P23" s="17">
        <f>SUM(O4:O23)</f>
        <v/>
      </c>
      <c r="Q23" s="17" t="n"/>
      <c r="R23" s="17" t="n"/>
      <c r="S23" s="17" t="n"/>
      <c r="T23" s="17">
        <f>Q23+R23+S23</f>
        <v/>
      </c>
      <c r="U23" s="17">
        <f>SUM(T4:T23)</f>
        <v/>
      </c>
      <c r="V23" s="19">
        <f>IF(SUM(K4:K23)=0,"",U23/SUM(K4:K23))</f>
        <v/>
      </c>
    </row>
    <row r="24" ht="18" customHeight="1">
      <c r="A24" s="8" t="n">
        <v>46133</v>
      </c>
      <c r="B24" s="9" t="inlineStr">
        <is>
          <t>火</t>
        </is>
      </c>
      <c r="C24" s="9" t="n"/>
      <c r="D24" s="10" t="n"/>
      <c r="E24" s="11" t="n"/>
      <c r="F24" s="11">
        <f>SUM(E4:E24)</f>
        <v/>
      </c>
      <c r="G24" s="11" t="n"/>
      <c r="H24" s="11">
        <f>SUM(G4:G24)</f>
        <v/>
      </c>
      <c r="I24" s="12">
        <f>IF(E24=0,"",G24/E24)</f>
        <v/>
      </c>
      <c r="J24" s="11">
        <f>ROUND(G24*0.1,0)</f>
        <v/>
      </c>
      <c r="K24" s="11">
        <f>G24+J24</f>
        <v/>
      </c>
      <c r="L24" s="11" t="n"/>
      <c r="M24" s="11">
        <f>SUM(L4:L24)</f>
        <v/>
      </c>
      <c r="N24" s="11">
        <f>IF(L24=0,"",ROUND(G24/L24,0))</f>
        <v/>
      </c>
      <c r="O24" s="11" t="n"/>
      <c r="P24" s="11">
        <f>SUM(O4:O24)</f>
        <v/>
      </c>
      <c r="Q24" s="11" t="n"/>
      <c r="R24" s="11" t="n"/>
      <c r="S24" s="11" t="n"/>
      <c r="T24" s="11">
        <f>Q24+R24+S24</f>
        <v/>
      </c>
      <c r="U24" s="11">
        <f>SUM(T4:T24)</f>
        <v/>
      </c>
      <c r="V24" s="13">
        <f>IF(SUM(K4:K24)=0,"",U24/SUM(K4:K24))</f>
        <v/>
      </c>
    </row>
    <row r="25" ht="18" customHeight="1">
      <c r="A25" s="14" t="n">
        <v>46134</v>
      </c>
      <c r="B25" s="15" t="inlineStr">
        <is>
          <t>水</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8" t="n">
        <v>46135</v>
      </c>
      <c r="B26" s="9" t="inlineStr">
        <is>
          <t>木</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14" t="n">
        <v>46136</v>
      </c>
      <c r="B27" s="15" t="inlineStr">
        <is>
          <t>金</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20" t="n">
        <v>46137</v>
      </c>
      <c r="B28" s="21" t="inlineStr">
        <is>
          <t>土</t>
        </is>
      </c>
      <c r="C28" s="22" t="n"/>
      <c r="D28" s="23" t="n"/>
      <c r="E28" s="24" t="n"/>
      <c r="F28" s="24">
        <f>SUM(E4:E28)</f>
        <v/>
      </c>
      <c r="G28" s="24" t="n"/>
      <c r="H28" s="24">
        <f>SUM(G4:G28)</f>
        <v/>
      </c>
      <c r="I28" s="25">
        <f>IF(E28=0,"",G28/E28)</f>
        <v/>
      </c>
      <c r="J28" s="24">
        <f>ROUND(G28*0.1,0)</f>
        <v/>
      </c>
      <c r="K28" s="24">
        <f>G28+J28</f>
        <v/>
      </c>
      <c r="L28" s="24" t="n"/>
      <c r="M28" s="24">
        <f>SUM(L4:L28)</f>
        <v/>
      </c>
      <c r="N28" s="24">
        <f>IF(L28=0,"",ROUND(G28/L28,0))</f>
        <v/>
      </c>
      <c r="O28" s="24" t="n"/>
      <c r="P28" s="24">
        <f>SUM(O4:O28)</f>
        <v/>
      </c>
      <c r="Q28" s="24" t="n"/>
      <c r="R28" s="24" t="n"/>
      <c r="S28" s="24" t="n"/>
      <c r="T28" s="24">
        <f>Q28+R28+S28</f>
        <v/>
      </c>
      <c r="U28" s="24">
        <f>SUM(T4:T28)</f>
        <v/>
      </c>
      <c r="V28" s="26">
        <f>IF(SUM(K4:K28)=0,"",U28/SUM(K4:K28))</f>
        <v/>
      </c>
    </row>
    <row r="29" ht="18" customHeight="1">
      <c r="A29" s="27" t="n">
        <v>46138</v>
      </c>
      <c r="B29" s="28" t="inlineStr">
        <is>
          <t>日</t>
        </is>
      </c>
      <c r="C29" s="29" t="n"/>
      <c r="D29" s="30" t="n"/>
      <c r="E29" s="31" t="n"/>
      <c r="F29" s="31">
        <f>SUM(E4:E29)</f>
        <v/>
      </c>
      <c r="G29" s="31" t="n"/>
      <c r="H29" s="31">
        <f>SUM(G4:G29)</f>
        <v/>
      </c>
      <c r="I29" s="32">
        <f>IF(E29=0,"",G29/E29)</f>
        <v/>
      </c>
      <c r="J29" s="31">
        <f>ROUND(G29*0.1,0)</f>
        <v/>
      </c>
      <c r="K29" s="31">
        <f>G29+J29</f>
        <v/>
      </c>
      <c r="L29" s="31" t="n"/>
      <c r="M29" s="31">
        <f>SUM(L4:L29)</f>
        <v/>
      </c>
      <c r="N29" s="31">
        <f>IF(L29=0,"",ROUND(G29/L29,0))</f>
        <v/>
      </c>
      <c r="O29" s="31" t="n"/>
      <c r="P29" s="31">
        <f>SUM(O4:O29)</f>
        <v/>
      </c>
      <c r="Q29" s="31" t="n"/>
      <c r="R29" s="31" t="n"/>
      <c r="S29" s="31" t="n"/>
      <c r="T29" s="31">
        <f>Q29+R29+S29</f>
        <v/>
      </c>
      <c r="U29" s="31">
        <f>SUM(T4:T29)</f>
        <v/>
      </c>
      <c r="V29" s="33">
        <f>IF(SUM(K4:K29)=0,"",U29/SUM(K4:K29))</f>
        <v/>
      </c>
    </row>
    <row r="30" ht="18" customHeight="1">
      <c r="A30" s="8" t="n">
        <v>46139</v>
      </c>
      <c r="B30" s="9" t="inlineStr">
        <is>
          <t>月</t>
        </is>
      </c>
      <c r="C30" s="9" t="n"/>
      <c r="D30" s="10" t="n"/>
      <c r="E30" s="11" t="n"/>
      <c r="F30" s="11">
        <f>SUM(E4:E30)</f>
        <v/>
      </c>
      <c r="G30" s="11" t="n"/>
      <c r="H30" s="11">
        <f>SUM(G4:G30)</f>
        <v/>
      </c>
      <c r="I30" s="12">
        <f>IF(E30=0,"",G30/E30)</f>
        <v/>
      </c>
      <c r="J30" s="11">
        <f>ROUND(G30*0.1,0)</f>
        <v/>
      </c>
      <c r="K30" s="11">
        <f>G30+J30</f>
        <v/>
      </c>
      <c r="L30" s="11" t="n"/>
      <c r="M30" s="11">
        <f>SUM(L4:L30)</f>
        <v/>
      </c>
      <c r="N30" s="11">
        <f>IF(L30=0,"",ROUND(G30/L30,0))</f>
        <v/>
      </c>
      <c r="O30" s="11" t="n"/>
      <c r="P30" s="11">
        <f>SUM(O4:O30)</f>
        <v/>
      </c>
      <c r="Q30" s="11" t="n"/>
      <c r="R30" s="11" t="n"/>
      <c r="S30" s="11" t="n"/>
      <c r="T30" s="11">
        <f>Q30+R30+S30</f>
        <v/>
      </c>
      <c r="U30" s="11">
        <f>SUM(T4:T30)</f>
        <v/>
      </c>
      <c r="V30" s="13">
        <f>IF(SUM(K4:K30)=0,"",U30/SUM(K4:K30))</f>
        <v/>
      </c>
    </row>
    <row r="31" ht="18" customHeight="1">
      <c r="A31" s="14" t="n">
        <v>46140</v>
      </c>
      <c r="B31" s="15" t="inlineStr">
        <is>
          <t>火</t>
        </is>
      </c>
      <c r="C31" s="15" t="n"/>
      <c r="D31" s="16" t="n"/>
      <c r="E31" s="17" t="n"/>
      <c r="F31" s="17">
        <f>SUM(E4:E31)</f>
        <v/>
      </c>
      <c r="G31" s="17" t="n"/>
      <c r="H31" s="17">
        <f>SUM(G4:G31)</f>
        <v/>
      </c>
      <c r="I31" s="18">
        <f>IF(E31=0,"",G31/E31)</f>
        <v/>
      </c>
      <c r="J31" s="17">
        <f>ROUND(G31*0.1,0)</f>
        <v/>
      </c>
      <c r="K31" s="17">
        <f>G31+J31</f>
        <v/>
      </c>
      <c r="L31" s="17" t="n"/>
      <c r="M31" s="17">
        <f>SUM(L4:L31)</f>
        <v/>
      </c>
      <c r="N31" s="17">
        <f>IF(L31=0,"",ROUND(G31/L31,0))</f>
        <v/>
      </c>
      <c r="O31" s="17" t="n"/>
      <c r="P31" s="17">
        <f>SUM(O4:O31)</f>
        <v/>
      </c>
      <c r="Q31" s="17" t="n"/>
      <c r="R31" s="17" t="n"/>
      <c r="S31" s="17" t="n"/>
      <c r="T31" s="17">
        <f>Q31+R31+S31</f>
        <v/>
      </c>
      <c r="U31" s="17">
        <f>SUM(T4:T31)</f>
        <v/>
      </c>
      <c r="V31" s="19">
        <f>IF(SUM(K4:K31)=0,"",U31/SUM(K4:K31))</f>
        <v/>
      </c>
    </row>
    <row r="32" ht="18" customHeight="1">
      <c r="A32" s="8" t="n">
        <v>46141</v>
      </c>
      <c r="B32" s="9" t="inlineStr">
        <is>
          <t>水</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14" t="n">
        <v>46142</v>
      </c>
      <c r="B33" s="15" t="inlineStr">
        <is>
          <t>木</t>
        </is>
      </c>
      <c r="C33" s="15" t="n"/>
      <c r="D33" s="16" t="n"/>
      <c r="E33" s="17" t="n"/>
      <c r="F33" s="17">
        <f>SUM(E4:E33)</f>
        <v/>
      </c>
      <c r="G33" s="17" t="n"/>
      <c r="H33" s="17">
        <f>SUM(G4:G33)</f>
        <v/>
      </c>
      <c r="I33" s="18">
        <f>IF(E33=0,"",G33/E33)</f>
        <v/>
      </c>
      <c r="J33" s="17">
        <f>ROUND(G33*0.1,0)</f>
        <v/>
      </c>
      <c r="K33" s="17">
        <f>G33+J33</f>
        <v/>
      </c>
      <c r="L33" s="17" t="n"/>
      <c r="M33" s="17">
        <f>SUM(L4:L33)</f>
        <v/>
      </c>
      <c r="N33" s="17">
        <f>IF(L33=0,"",ROUND(G33/L33,0))</f>
        <v/>
      </c>
      <c r="O33" s="17" t="n"/>
      <c r="P33" s="17">
        <f>SUM(O4:O33)</f>
        <v/>
      </c>
      <c r="Q33" s="17" t="n"/>
      <c r="R33" s="17" t="n"/>
      <c r="S33" s="17" t="n"/>
      <c r="T33" s="17">
        <f>Q33+R33+S33</f>
        <v/>
      </c>
      <c r="U33" s="17">
        <f>SUM(T4:T33)</f>
        <v/>
      </c>
      <c r="V33" s="19">
        <f>IF(SUM(K4:K33)=0,"",U33/SUM(K4:K33))</f>
        <v/>
      </c>
    </row>
    <row r="34" ht="22" customHeight="1">
      <c r="A34" s="34" t="inlineStr">
        <is>
          <t>月　合　計</t>
        </is>
      </c>
      <c r="E34" s="35">
        <f>SUM(E4:E33)</f>
        <v/>
      </c>
      <c r="F34" s="35">
        <f>F33</f>
        <v/>
      </c>
      <c r="G34" s="35">
        <f>SUM(G4:G33)</f>
        <v/>
      </c>
      <c r="H34" s="35">
        <f>H33</f>
        <v/>
      </c>
      <c r="I34" s="36">
        <f>IF(E34=0,"",G34/E34)</f>
        <v/>
      </c>
      <c r="J34" s="35">
        <f>ROUND(G34*0.1,0)</f>
        <v/>
      </c>
      <c r="K34" s="35">
        <f>G34+J34</f>
        <v/>
      </c>
      <c r="L34" s="35">
        <f>SUM(L4:L33)</f>
        <v/>
      </c>
      <c r="M34" s="35">
        <f>M33</f>
        <v/>
      </c>
      <c r="N34" s="35">
        <f>IF(L34=0,"",ROUND(G34/L34,0))</f>
        <v/>
      </c>
      <c r="O34" s="35">
        <f>SUM(O4:O33)</f>
        <v/>
      </c>
      <c r="P34" s="35">
        <f>P33</f>
        <v/>
      </c>
      <c r="Q34" s="35">
        <f>SUM(Q4:Q33)</f>
        <v/>
      </c>
      <c r="R34" s="35">
        <f>SUM(R4:R33)</f>
        <v/>
      </c>
      <c r="S34" s="35">
        <f>SUM(S4:S33)</f>
        <v/>
      </c>
      <c r="T34" s="35">
        <f>SUM(T4:T33)</f>
        <v/>
      </c>
      <c r="U34" s="35">
        <f>U33</f>
        <v/>
      </c>
      <c r="V34" s="37">
        <f>IF(K34=0,"",T34/K34)</f>
        <v/>
      </c>
    </row>
    <row r="36">
      <c r="A36" s="38" t="inlineStr">
        <is>
          <t>【凡例】</t>
        </is>
      </c>
    </row>
    <row r="37">
      <c r="A37" s="39" t="inlineStr">
        <is>
          <t>■ 青背景：土曜日</t>
        </is>
      </c>
    </row>
    <row r="38">
      <c r="A38" s="40" t="inlineStr">
        <is>
          <t>■ 赤背景：日曜日</t>
        </is>
      </c>
    </row>
    <row r="39">
      <c r="A39" s="41" t="inlineStr">
        <is>
          <t>■ 緑ヘッダー：従業員入力欄</t>
        </is>
      </c>
    </row>
    <row r="40">
      <c r="A40" s="42" t="inlineStr">
        <is>
          <t>■ グレーヘッダー：自動計算欄（入力不要）</t>
        </is>
      </c>
    </row>
  </sheetData>
  <mergeCells count="7">
    <mergeCell ref="E2:J2"/>
    <mergeCell ref="Q2:U2"/>
    <mergeCell ref="A34:D34"/>
    <mergeCell ref="A1:V1"/>
    <mergeCell ref="L2:O2"/>
    <mergeCell ref="B2:B3"/>
    <mergeCell ref="A2:A3"/>
  </mergeCells>
  <dataValidations count="3">
    <dataValidation sqref="C4 C5 C6 C7 C8 C9 C10 C11 C12 C13 C14 C15 C16 C17 C18 C19 C20 C21 C22 C23 C24 C25 C26 C27 C28 C29 C30 C31 C32 C33"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G4 G5 G6 G7 G8 G9 G10 G11 G12 G13 G14 G15 G16 G17 G18 G19 G20 G21 G22 G23 G24 G25 G26 G27 G28 G29 G30 G31 G32 G33 L4 L5 L6 L7 L8 L9 L10 L11 L12 L13 L14 L15 L16 L17 L18 L19 L20 L21 L22 L23 L24 L25 L26 L27 L28 L29 L30 L31 L32 L33 O4 O5 O6 O7 O8 O9 O10 O11 O12 O13 O14 O15 O16 O17 O18 O19 O20 O21 O22 O23 O24 O25 O26 O27 O28 O29 O30 O31 O32 O33 Q4 Q5 Q6 Q7 Q8 Q9 Q10 Q11 Q12 Q13 Q14 Q15 Q16 Q17 Q18 Q19 Q20 Q21 Q22 Q23 Q24 Q25 Q26 Q27 Q28 Q29 Q30 Q31 Q32 Q33 R4 R5 R6 R7 R8 R9 R10 R11 R12 R13 R14 R15 R16 R17 R18 R19 R20 R21 R22 R23 R24 R25 R26 R27 R28 R29 R30 R31 R32 R33 S4 S5 S6 S7 S8 S9 S10 S11 S12 S13 S14 S15 S16 S17 S18 S19 S20 S21 S22 S23 S24 S25 S26 S27 S28 S29 S30 S31 S32 S33"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X4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5月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46143</v>
      </c>
      <c r="B4" s="9" t="inlineStr">
        <is>
          <t>金</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20" t="n">
        <v>46144</v>
      </c>
      <c r="B5" s="21" t="inlineStr">
        <is>
          <t>土</t>
        </is>
      </c>
      <c r="C5" s="22" t="n"/>
      <c r="D5" s="23" t="n"/>
      <c r="E5" s="24" t="n"/>
      <c r="F5" s="24">
        <f>SUM(E4:E5)</f>
        <v/>
      </c>
      <c r="G5" s="24" t="n"/>
      <c r="H5" s="24">
        <f>SUM(G4:G5)</f>
        <v/>
      </c>
      <c r="I5" s="25">
        <f>IF(E5=0,"",G5/E5)</f>
        <v/>
      </c>
      <c r="J5" s="24">
        <f>ROUND(G5*0.1,0)</f>
        <v/>
      </c>
      <c r="K5" s="24">
        <f>G5+J5</f>
        <v/>
      </c>
      <c r="L5" s="24" t="n"/>
      <c r="M5" s="24">
        <f>SUM(L4:L5)</f>
        <v/>
      </c>
      <c r="N5" s="24">
        <f>IF(L5=0,"",ROUND(G5/L5,0))</f>
        <v/>
      </c>
      <c r="O5" s="24" t="n"/>
      <c r="P5" s="24">
        <f>SUM(O4:O5)</f>
        <v/>
      </c>
      <c r="Q5" s="24" t="n"/>
      <c r="R5" s="24" t="n"/>
      <c r="S5" s="24" t="n"/>
      <c r="T5" s="24">
        <f>Q5+R5+S5</f>
        <v/>
      </c>
      <c r="U5" s="24">
        <f>SUM(T4:T5)</f>
        <v/>
      </c>
      <c r="V5" s="26">
        <f>IF(SUM(K4:K5)=0,"",U5/SUM(K4:K5))</f>
        <v/>
      </c>
    </row>
    <row r="6" ht="18" customHeight="1">
      <c r="A6" s="27" t="n">
        <v>46145</v>
      </c>
      <c r="B6" s="28" t="inlineStr">
        <is>
          <t>日</t>
        </is>
      </c>
      <c r="C6" s="29" t="n"/>
      <c r="D6" s="30" t="n"/>
      <c r="E6" s="31" t="n"/>
      <c r="F6" s="31">
        <f>SUM(E4:E6)</f>
        <v/>
      </c>
      <c r="G6" s="31" t="n"/>
      <c r="H6" s="31">
        <f>SUM(G4:G6)</f>
        <v/>
      </c>
      <c r="I6" s="32">
        <f>IF(E6=0,"",G6/E6)</f>
        <v/>
      </c>
      <c r="J6" s="31">
        <f>ROUND(G6*0.1,0)</f>
        <v/>
      </c>
      <c r="K6" s="31">
        <f>G6+J6</f>
        <v/>
      </c>
      <c r="L6" s="31" t="n"/>
      <c r="M6" s="31">
        <f>SUM(L4:L6)</f>
        <v/>
      </c>
      <c r="N6" s="31">
        <f>IF(L6=0,"",ROUND(G6/L6,0))</f>
        <v/>
      </c>
      <c r="O6" s="31" t="n"/>
      <c r="P6" s="31">
        <f>SUM(O4:O6)</f>
        <v/>
      </c>
      <c r="Q6" s="31" t="n"/>
      <c r="R6" s="31" t="n"/>
      <c r="S6" s="31" t="n"/>
      <c r="T6" s="31">
        <f>Q6+R6+S6</f>
        <v/>
      </c>
      <c r="U6" s="31">
        <f>SUM(T4:T6)</f>
        <v/>
      </c>
      <c r="V6" s="33">
        <f>IF(SUM(K4:K6)=0,"",U6/SUM(K4:K6))</f>
        <v/>
      </c>
    </row>
    <row r="7" ht="18" customHeight="1">
      <c r="A7" s="14" t="n">
        <v>46146</v>
      </c>
      <c r="B7" s="15" t="inlineStr">
        <is>
          <t>月</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8" t="n">
        <v>46147</v>
      </c>
      <c r="B8" s="9" t="inlineStr">
        <is>
          <t>火</t>
        </is>
      </c>
      <c r="C8" s="9" t="n"/>
      <c r="D8" s="10" t="n"/>
      <c r="E8" s="11" t="n"/>
      <c r="F8" s="11">
        <f>SUM(E4:E8)</f>
        <v/>
      </c>
      <c r="G8" s="11" t="n"/>
      <c r="H8" s="11">
        <f>SUM(G4:G8)</f>
        <v/>
      </c>
      <c r="I8" s="12">
        <f>IF(E8=0,"",G8/E8)</f>
        <v/>
      </c>
      <c r="J8" s="11">
        <f>ROUND(G8*0.1,0)</f>
        <v/>
      </c>
      <c r="K8" s="11">
        <f>G8+J8</f>
        <v/>
      </c>
      <c r="L8" s="11" t="n"/>
      <c r="M8" s="11">
        <f>SUM(L4:L8)</f>
        <v/>
      </c>
      <c r="N8" s="11">
        <f>IF(L8=0,"",ROUND(G8/L8,0))</f>
        <v/>
      </c>
      <c r="O8" s="11" t="n"/>
      <c r="P8" s="11">
        <f>SUM(O4:O8)</f>
        <v/>
      </c>
      <c r="Q8" s="11" t="n"/>
      <c r="R8" s="11" t="n"/>
      <c r="S8" s="11" t="n"/>
      <c r="T8" s="11">
        <f>Q8+R8+S8</f>
        <v/>
      </c>
      <c r="U8" s="11">
        <f>SUM(T4:T8)</f>
        <v/>
      </c>
      <c r="V8" s="13">
        <f>IF(SUM(K4:K8)=0,"",U8/SUM(K4:K8))</f>
        <v/>
      </c>
    </row>
    <row r="9" ht="18" customHeight="1">
      <c r="A9" s="14" t="n">
        <v>46148</v>
      </c>
      <c r="B9" s="15" t="inlineStr">
        <is>
          <t>水</t>
        </is>
      </c>
      <c r="C9" s="15" t="n"/>
      <c r="D9" s="16" t="n"/>
      <c r="E9" s="17" t="n"/>
      <c r="F9" s="17">
        <f>SUM(E4:E9)</f>
        <v/>
      </c>
      <c r="G9" s="17" t="n"/>
      <c r="H9" s="17">
        <f>SUM(G4:G9)</f>
        <v/>
      </c>
      <c r="I9" s="18">
        <f>IF(E9=0,"",G9/E9)</f>
        <v/>
      </c>
      <c r="J9" s="17">
        <f>ROUND(G9*0.1,0)</f>
        <v/>
      </c>
      <c r="K9" s="17">
        <f>G9+J9</f>
        <v/>
      </c>
      <c r="L9" s="17" t="n"/>
      <c r="M9" s="17">
        <f>SUM(L4:L9)</f>
        <v/>
      </c>
      <c r="N9" s="17">
        <f>IF(L9=0,"",ROUND(G9/L9,0))</f>
        <v/>
      </c>
      <c r="O9" s="17" t="n"/>
      <c r="P9" s="17">
        <f>SUM(O4:O9)</f>
        <v/>
      </c>
      <c r="Q9" s="17" t="n"/>
      <c r="R9" s="17" t="n"/>
      <c r="S9" s="17" t="n"/>
      <c r="T9" s="17">
        <f>Q9+R9+S9</f>
        <v/>
      </c>
      <c r="U9" s="17">
        <f>SUM(T4:T9)</f>
        <v/>
      </c>
      <c r="V9" s="19">
        <f>IF(SUM(K4:K9)=0,"",U9/SUM(K4:K9))</f>
        <v/>
      </c>
    </row>
    <row r="10" ht="18" customHeight="1">
      <c r="A10" s="8" t="n">
        <v>46149</v>
      </c>
      <c r="B10" s="9" t="inlineStr">
        <is>
          <t>木</t>
        </is>
      </c>
      <c r="C10" s="9" t="n"/>
      <c r="D10" s="10" t="n"/>
      <c r="E10" s="11" t="n"/>
      <c r="F10" s="11">
        <f>SUM(E4:E10)</f>
        <v/>
      </c>
      <c r="G10" s="11" t="n"/>
      <c r="H10" s="11">
        <f>SUM(G4:G10)</f>
        <v/>
      </c>
      <c r="I10" s="12">
        <f>IF(E10=0,"",G10/E10)</f>
        <v/>
      </c>
      <c r="J10" s="11">
        <f>ROUND(G10*0.1,0)</f>
        <v/>
      </c>
      <c r="K10" s="11">
        <f>G10+J10</f>
        <v/>
      </c>
      <c r="L10" s="11" t="n"/>
      <c r="M10" s="11">
        <f>SUM(L4:L10)</f>
        <v/>
      </c>
      <c r="N10" s="11">
        <f>IF(L10=0,"",ROUND(G10/L10,0))</f>
        <v/>
      </c>
      <c r="O10" s="11" t="n"/>
      <c r="P10" s="11">
        <f>SUM(O4:O10)</f>
        <v/>
      </c>
      <c r="Q10" s="11" t="n"/>
      <c r="R10" s="11" t="n"/>
      <c r="S10" s="11" t="n"/>
      <c r="T10" s="11">
        <f>Q10+R10+S10</f>
        <v/>
      </c>
      <c r="U10" s="11">
        <f>SUM(T4:T10)</f>
        <v/>
      </c>
      <c r="V10" s="13">
        <f>IF(SUM(K4:K10)=0,"",U10/SUM(K4:K10))</f>
        <v/>
      </c>
    </row>
    <row r="11" ht="18" customHeight="1">
      <c r="A11" s="14" t="n">
        <v>46150</v>
      </c>
      <c r="B11" s="15" t="inlineStr">
        <is>
          <t>金</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20" t="n">
        <v>46151</v>
      </c>
      <c r="B12" s="21" t="inlineStr">
        <is>
          <t>土</t>
        </is>
      </c>
      <c r="C12" s="22" t="n"/>
      <c r="D12" s="23" t="n"/>
      <c r="E12" s="24" t="n"/>
      <c r="F12" s="24">
        <f>SUM(E4:E12)</f>
        <v/>
      </c>
      <c r="G12" s="24" t="n"/>
      <c r="H12" s="24">
        <f>SUM(G4:G12)</f>
        <v/>
      </c>
      <c r="I12" s="25">
        <f>IF(E12=0,"",G12/E12)</f>
        <v/>
      </c>
      <c r="J12" s="24">
        <f>ROUND(G12*0.1,0)</f>
        <v/>
      </c>
      <c r="K12" s="24">
        <f>G12+J12</f>
        <v/>
      </c>
      <c r="L12" s="24" t="n"/>
      <c r="M12" s="24">
        <f>SUM(L4:L12)</f>
        <v/>
      </c>
      <c r="N12" s="24">
        <f>IF(L12=0,"",ROUND(G12/L12,0))</f>
        <v/>
      </c>
      <c r="O12" s="24" t="n"/>
      <c r="P12" s="24">
        <f>SUM(O4:O12)</f>
        <v/>
      </c>
      <c r="Q12" s="24" t="n"/>
      <c r="R12" s="24" t="n"/>
      <c r="S12" s="24" t="n"/>
      <c r="T12" s="24">
        <f>Q12+R12+S12</f>
        <v/>
      </c>
      <c r="U12" s="24">
        <f>SUM(T4:T12)</f>
        <v/>
      </c>
      <c r="V12" s="26">
        <f>IF(SUM(K4:K12)=0,"",U12/SUM(K4:K12))</f>
        <v/>
      </c>
    </row>
    <row r="13" ht="18" customHeight="1">
      <c r="A13" s="27" t="n">
        <v>46152</v>
      </c>
      <c r="B13" s="28" t="inlineStr">
        <is>
          <t>日</t>
        </is>
      </c>
      <c r="C13" s="29" t="n"/>
      <c r="D13" s="30" t="n"/>
      <c r="E13" s="31" t="n"/>
      <c r="F13" s="31">
        <f>SUM(E4:E13)</f>
        <v/>
      </c>
      <c r="G13" s="31" t="n"/>
      <c r="H13" s="31">
        <f>SUM(G4:G13)</f>
        <v/>
      </c>
      <c r="I13" s="32">
        <f>IF(E13=0,"",G13/E13)</f>
        <v/>
      </c>
      <c r="J13" s="31">
        <f>ROUND(G13*0.1,0)</f>
        <v/>
      </c>
      <c r="K13" s="31">
        <f>G13+J13</f>
        <v/>
      </c>
      <c r="L13" s="31" t="n"/>
      <c r="M13" s="31">
        <f>SUM(L4:L13)</f>
        <v/>
      </c>
      <c r="N13" s="31">
        <f>IF(L13=0,"",ROUND(G13/L13,0))</f>
        <v/>
      </c>
      <c r="O13" s="31" t="n"/>
      <c r="P13" s="31">
        <f>SUM(O4:O13)</f>
        <v/>
      </c>
      <c r="Q13" s="31" t="n"/>
      <c r="R13" s="31" t="n"/>
      <c r="S13" s="31" t="n"/>
      <c r="T13" s="31">
        <f>Q13+R13+S13</f>
        <v/>
      </c>
      <c r="U13" s="31">
        <f>SUM(T4:T13)</f>
        <v/>
      </c>
      <c r="V13" s="33">
        <f>IF(SUM(K4:K13)=0,"",U13/SUM(K4:K13))</f>
        <v/>
      </c>
    </row>
    <row r="14" ht="18" customHeight="1">
      <c r="A14" s="8" t="n">
        <v>46153</v>
      </c>
      <c r="B14" s="9" t="inlineStr">
        <is>
          <t>月</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14" t="n">
        <v>46154</v>
      </c>
      <c r="B15" s="15" t="inlineStr">
        <is>
          <t>火</t>
        </is>
      </c>
      <c r="C15" s="15" t="n"/>
      <c r="D15" s="16" t="n"/>
      <c r="E15" s="17" t="n"/>
      <c r="F15" s="17">
        <f>SUM(E4:E15)</f>
        <v/>
      </c>
      <c r="G15" s="17" t="n"/>
      <c r="H15" s="17">
        <f>SUM(G4:G15)</f>
        <v/>
      </c>
      <c r="I15" s="18">
        <f>IF(E15=0,"",G15/E15)</f>
        <v/>
      </c>
      <c r="J15" s="17">
        <f>ROUND(G15*0.1,0)</f>
        <v/>
      </c>
      <c r="K15" s="17">
        <f>G15+J15</f>
        <v/>
      </c>
      <c r="L15" s="17" t="n"/>
      <c r="M15" s="17">
        <f>SUM(L4:L15)</f>
        <v/>
      </c>
      <c r="N15" s="17">
        <f>IF(L15=0,"",ROUND(G15/L15,0))</f>
        <v/>
      </c>
      <c r="O15" s="17" t="n"/>
      <c r="P15" s="17">
        <f>SUM(O4:O15)</f>
        <v/>
      </c>
      <c r="Q15" s="17" t="n"/>
      <c r="R15" s="17" t="n"/>
      <c r="S15" s="17" t="n"/>
      <c r="T15" s="17">
        <f>Q15+R15+S15</f>
        <v/>
      </c>
      <c r="U15" s="17">
        <f>SUM(T4:T15)</f>
        <v/>
      </c>
      <c r="V15" s="19">
        <f>IF(SUM(K4:K15)=0,"",U15/SUM(K4:K15))</f>
        <v/>
      </c>
    </row>
    <row r="16" ht="18" customHeight="1">
      <c r="A16" s="8" t="n">
        <v>46155</v>
      </c>
      <c r="B16" s="9" t="inlineStr">
        <is>
          <t>水</t>
        </is>
      </c>
      <c r="C16" s="9" t="n"/>
      <c r="D16" s="10" t="n"/>
      <c r="E16" s="11" t="n"/>
      <c r="F16" s="11">
        <f>SUM(E4:E16)</f>
        <v/>
      </c>
      <c r="G16" s="11" t="n"/>
      <c r="H16" s="11">
        <f>SUM(G4:G16)</f>
        <v/>
      </c>
      <c r="I16" s="12">
        <f>IF(E16=0,"",G16/E16)</f>
        <v/>
      </c>
      <c r="J16" s="11">
        <f>ROUND(G16*0.1,0)</f>
        <v/>
      </c>
      <c r="K16" s="11">
        <f>G16+J16</f>
        <v/>
      </c>
      <c r="L16" s="11" t="n"/>
      <c r="M16" s="11">
        <f>SUM(L4:L16)</f>
        <v/>
      </c>
      <c r="N16" s="11">
        <f>IF(L16=0,"",ROUND(G16/L16,0))</f>
        <v/>
      </c>
      <c r="O16" s="11" t="n"/>
      <c r="P16" s="11">
        <f>SUM(O4:O16)</f>
        <v/>
      </c>
      <c r="Q16" s="11" t="n"/>
      <c r="R16" s="11" t="n"/>
      <c r="S16" s="11" t="n"/>
      <c r="T16" s="11">
        <f>Q16+R16+S16</f>
        <v/>
      </c>
      <c r="U16" s="11">
        <f>SUM(T4:T16)</f>
        <v/>
      </c>
      <c r="V16" s="13">
        <f>IF(SUM(K4:K16)=0,"",U16/SUM(K4:K16))</f>
        <v/>
      </c>
    </row>
    <row r="17" ht="18" customHeight="1">
      <c r="A17" s="14" t="n">
        <v>46156</v>
      </c>
      <c r="B17" s="15" t="inlineStr">
        <is>
          <t>木</t>
        </is>
      </c>
      <c r="C17" s="15" t="n"/>
      <c r="D17" s="16" t="n"/>
      <c r="E17" s="17" t="n"/>
      <c r="F17" s="17">
        <f>SUM(E4:E17)</f>
        <v/>
      </c>
      <c r="G17" s="17" t="n"/>
      <c r="H17" s="17">
        <f>SUM(G4:G17)</f>
        <v/>
      </c>
      <c r="I17" s="18">
        <f>IF(E17=0,"",G17/E17)</f>
        <v/>
      </c>
      <c r="J17" s="17">
        <f>ROUND(G17*0.1,0)</f>
        <v/>
      </c>
      <c r="K17" s="17">
        <f>G17+J17</f>
        <v/>
      </c>
      <c r="L17" s="17" t="n"/>
      <c r="M17" s="17">
        <f>SUM(L4:L17)</f>
        <v/>
      </c>
      <c r="N17" s="17">
        <f>IF(L17=0,"",ROUND(G17/L17,0))</f>
        <v/>
      </c>
      <c r="O17" s="17" t="n"/>
      <c r="P17" s="17">
        <f>SUM(O4:O17)</f>
        <v/>
      </c>
      <c r="Q17" s="17" t="n"/>
      <c r="R17" s="17" t="n"/>
      <c r="S17" s="17" t="n"/>
      <c r="T17" s="17">
        <f>Q17+R17+S17</f>
        <v/>
      </c>
      <c r="U17" s="17">
        <f>SUM(T4:T17)</f>
        <v/>
      </c>
      <c r="V17" s="19">
        <f>IF(SUM(K4:K17)=0,"",U17/SUM(K4:K17))</f>
        <v/>
      </c>
    </row>
    <row r="18" ht="18" customHeight="1">
      <c r="A18" s="8" t="n">
        <v>46157</v>
      </c>
      <c r="B18" s="9" t="inlineStr">
        <is>
          <t>金</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20" t="n">
        <v>46158</v>
      </c>
      <c r="B19" s="21" t="inlineStr">
        <is>
          <t>土</t>
        </is>
      </c>
      <c r="C19" s="22" t="n"/>
      <c r="D19" s="23" t="n"/>
      <c r="E19" s="24" t="n"/>
      <c r="F19" s="24">
        <f>SUM(E4:E19)</f>
        <v/>
      </c>
      <c r="G19" s="24" t="n"/>
      <c r="H19" s="24">
        <f>SUM(G4:G19)</f>
        <v/>
      </c>
      <c r="I19" s="25">
        <f>IF(E19=0,"",G19/E19)</f>
        <v/>
      </c>
      <c r="J19" s="24">
        <f>ROUND(G19*0.1,0)</f>
        <v/>
      </c>
      <c r="K19" s="24">
        <f>G19+J19</f>
        <v/>
      </c>
      <c r="L19" s="24" t="n"/>
      <c r="M19" s="24">
        <f>SUM(L4:L19)</f>
        <v/>
      </c>
      <c r="N19" s="24">
        <f>IF(L19=0,"",ROUND(G19/L19,0))</f>
        <v/>
      </c>
      <c r="O19" s="24" t="n"/>
      <c r="P19" s="24">
        <f>SUM(O4:O19)</f>
        <v/>
      </c>
      <c r="Q19" s="24" t="n"/>
      <c r="R19" s="24" t="n"/>
      <c r="S19" s="24" t="n"/>
      <c r="T19" s="24">
        <f>Q19+R19+S19</f>
        <v/>
      </c>
      <c r="U19" s="24">
        <f>SUM(T4:T19)</f>
        <v/>
      </c>
      <c r="V19" s="26">
        <f>IF(SUM(K4:K19)=0,"",U19/SUM(K4:K19))</f>
        <v/>
      </c>
    </row>
    <row r="20" ht="18" customHeight="1">
      <c r="A20" s="27" t="n">
        <v>46159</v>
      </c>
      <c r="B20" s="28" t="inlineStr">
        <is>
          <t>日</t>
        </is>
      </c>
      <c r="C20" s="29" t="n"/>
      <c r="D20" s="30" t="n"/>
      <c r="E20" s="31" t="n"/>
      <c r="F20" s="31">
        <f>SUM(E4:E20)</f>
        <v/>
      </c>
      <c r="G20" s="31" t="n"/>
      <c r="H20" s="31">
        <f>SUM(G4:G20)</f>
        <v/>
      </c>
      <c r="I20" s="32">
        <f>IF(E20=0,"",G20/E20)</f>
        <v/>
      </c>
      <c r="J20" s="31">
        <f>ROUND(G20*0.1,0)</f>
        <v/>
      </c>
      <c r="K20" s="31">
        <f>G20+J20</f>
        <v/>
      </c>
      <c r="L20" s="31" t="n"/>
      <c r="M20" s="31">
        <f>SUM(L4:L20)</f>
        <v/>
      </c>
      <c r="N20" s="31">
        <f>IF(L20=0,"",ROUND(G20/L20,0))</f>
        <v/>
      </c>
      <c r="O20" s="31" t="n"/>
      <c r="P20" s="31">
        <f>SUM(O4:O20)</f>
        <v/>
      </c>
      <c r="Q20" s="31" t="n"/>
      <c r="R20" s="31" t="n"/>
      <c r="S20" s="31" t="n"/>
      <c r="T20" s="31">
        <f>Q20+R20+S20</f>
        <v/>
      </c>
      <c r="U20" s="31">
        <f>SUM(T4:T20)</f>
        <v/>
      </c>
      <c r="V20" s="33">
        <f>IF(SUM(K4:K20)=0,"",U20/SUM(K4:K20))</f>
        <v/>
      </c>
    </row>
    <row r="21" ht="18" customHeight="1">
      <c r="A21" s="14" t="n">
        <v>46160</v>
      </c>
      <c r="B21" s="15" t="inlineStr">
        <is>
          <t>月</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8" t="n">
        <v>46161</v>
      </c>
      <c r="B22" s="9" t="inlineStr">
        <is>
          <t>火</t>
        </is>
      </c>
      <c r="C22" s="9" t="n"/>
      <c r="D22" s="10" t="n"/>
      <c r="E22" s="11" t="n"/>
      <c r="F22" s="11">
        <f>SUM(E4:E22)</f>
        <v/>
      </c>
      <c r="G22" s="11" t="n"/>
      <c r="H22" s="11">
        <f>SUM(G4:G22)</f>
        <v/>
      </c>
      <c r="I22" s="12">
        <f>IF(E22=0,"",G22/E22)</f>
        <v/>
      </c>
      <c r="J22" s="11">
        <f>ROUND(G22*0.1,0)</f>
        <v/>
      </c>
      <c r="K22" s="11">
        <f>G22+J22</f>
        <v/>
      </c>
      <c r="L22" s="11" t="n"/>
      <c r="M22" s="11">
        <f>SUM(L4:L22)</f>
        <v/>
      </c>
      <c r="N22" s="11">
        <f>IF(L22=0,"",ROUND(G22/L22,0))</f>
        <v/>
      </c>
      <c r="O22" s="11" t="n"/>
      <c r="P22" s="11">
        <f>SUM(O4:O22)</f>
        <v/>
      </c>
      <c r="Q22" s="11" t="n"/>
      <c r="R22" s="11" t="n"/>
      <c r="S22" s="11" t="n"/>
      <c r="T22" s="11">
        <f>Q22+R22+S22</f>
        <v/>
      </c>
      <c r="U22" s="11">
        <f>SUM(T4:T22)</f>
        <v/>
      </c>
      <c r="V22" s="13">
        <f>IF(SUM(K4:K22)=0,"",U22/SUM(K4:K22))</f>
        <v/>
      </c>
    </row>
    <row r="23" ht="18" customHeight="1">
      <c r="A23" s="14" t="n">
        <v>46162</v>
      </c>
      <c r="B23" s="15" t="inlineStr">
        <is>
          <t>水</t>
        </is>
      </c>
      <c r="C23" s="15" t="n"/>
      <c r="D23" s="16" t="n"/>
      <c r="E23" s="17" t="n"/>
      <c r="F23" s="17">
        <f>SUM(E4:E23)</f>
        <v/>
      </c>
      <c r="G23" s="17" t="n"/>
      <c r="H23" s="17">
        <f>SUM(G4:G23)</f>
        <v/>
      </c>
      <c r="I23" s="18">
        <f>IF(E23=0,"",G23/E23)</f>
        <v/>
      </c>
      <c r="J23" s="17">
        <f>ROUND(G23*0.1,0)</f>
        <v/>
      </c>
      <c r="K23" s="17">
        <f>G23+J23</f>
        <v/>
      </c>
      <c r="L23" s="17" t="n"/>
      <c r="M23" s="17">
        <f>SUM(L4:L23)</f>
        <v/>
      </c>
      <c r="N23" s="17">
        <f>IF(L23=0,"",ROUND(G23/L23,0))</f>
        <v/>
      </c>
      <c r="O23" s="17" t="n"/>
      <c r="P23" s="17">
        <f>SUM(O4:O23)</f>
        <v/>
      </c>
      <c r="Q23" s="17" t="n"/>
      <c r="R23" s="17" t="n"/>
      <c r="S23" s="17" t="n"/>
      <c r="T23" s="17">
        <f>Q23+R23+S23</f>
        <v/>
      </c>
      <c r="U23" s="17">
        <f>SUM(T4:T23)</f>
        <v/>
      </c>
      <c r="V23" s="19">
        <f>IF(SUM(K4:K23)=0,"",U23/SUM(K4:K23))</f>
        <v/>
      </c>
    </row>
    <row r="24" ht="18" customHeight="1">
      <c r="A24" s="8" t="n">
        <v>46163</v>
      </c>
      <c r="B24" s="9" t="inlineStr">
        <is>
          <t>木</t>
        </is>
      </c>
      <c r="C24" s="9" t="n"/>
      <c r="D24" s="10" t="n"/>
      <c r="E24" s="11" t="n"/>
      <c r="F24" s="11">
        <f>SUM(E4:E24)</f>
        <v/>
      </c>
      <c r="G24" s="11" t="n"/>
      <c r="H24" s="11">
        <f>SUM(G4:G24)</f>
        <v/>
      </c>
      <c r="I24" s="12">
        <f>IF(E24=0,"",G24/E24)</f>
        <v/>
      </c>
      <c r="J24" s="11">
        <f>ROUND(G24*0.1,0)</f>
        <v/>
      </c>
      <c r="K24" s="11">
        <f>G24+J24</f>
        <v/>
      </c>
      <c r="L24" s="11" t="n"/>
      <c r="M24" s="11">
        <f>SUM(L4:L24)</f>
        <v/>
      </c>
      <c r="N24" s="11">
        <f>IF(L24=0,"",ROUND(G24/L24,0))</f>
        <v/>
      </c>
      <c r="O24" s="11" t="n"/>
      <c r="P24" s="11">
        <f>SUM(O4:O24)</f>
        <v/>
      </c>
      <c r="Q24" s="11" t="n"/>
      <c r="R24" s="11" t="n"/>
      <c r="S24" s="11" t="n"/>
      <c r="T24" s="11">
        <f>Q24+R24+S24</f>
        <v/>
      </c>
      <c r="U24" s="11">
        <f>SUM(T4:T24)</f>
        <v/>
      </c>
      <c r="V24" s="13">
        <f>IF(SUM(K4:K24)=0,"",U24/SUM(K4:K24))</f>
        <v/>
      </c>
    </row>
    <row r="25" ht="18" customHeight="1">
      <c r="A25" s="14" t="n">
        <v>46164</v>
      </c>
      <c r="B25" s="15" t="inlineStr">
        <is>
          <t>金</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20" t="n">
        <v>46165</v>
      </c>
      <c r="B26" s="21" t="inlineStr">
        <is>
          <t>土</t>
        </is>
      </c>
      <c r="C26" s="22" t="n"/>
      <c r="D26" s="23" t="n"/>
      <c r="E26" s="24" t="n"/>
      <c r="F26" s="24">
        <f>SUM(E4:E26)</f>
        <v/>
      </c>
      <c r="G26" s="24" t="n"/>
      <c r="H26" s="24">
        <f>SUM(G4:G26)</f>
        <v/>
      </c>
      <c r="I26" s="25">
        <f>IF(E26=0,"",G26/E26)</f>
        <v/>
      </c>
      <c r="J26" s="24">
        <f>ROUND(G26*0.1,0)</f>
        <v/>
      </c>
      <c r="K26" s="24">
        <f>G26+J26</f>
        <v/>
      </c>
      <c r="L26" s="24" t="n"/>
      <c r="M26" s="24">
        <f>SUM(L4:L26)</f>
        <v/>
      </c>
      <c r="N26" s="24">
        <f>IF(L26=0,"",ROUND(G26/L26,0))</f>
        <v/>
      </c>
      <c r="O26" s="24" t="n"/>
      <c r="P26" s="24">
        <f>SUM(O4:O26)</f>
        <v/>
      </c>
      <c r="Q26" s="24" t="n"/>
      <c r="R26" s="24" t="n"/>
      <c r="S26" s="24" t="n"/>
      <c r="T26" s="24">
        <f>Q26+R26+S26</f>
        <v/>
      </c>
      <c r="U26" s="24">
        <f>SUM(T4:T26)</f>
        <v/>
      </c>
      <c r="V26" s="26">
        <f>IF(SUM(K4:K26)=0,"",U26/SUM(K4:K26))</f>
        <v/>
      </c>
    </row>
    <row r="27" ht="18" customHeight="1">
      <c r="A27" s="27" t="n">
        <v>46166</v>
      </c>
      <c r="B27" s="28" t="inlineStr">
        <is>
          <t>日</t>
        </is>
      </c>
      <c r="C27" s="29" t="n"/>
      <c r="D27" s="30" t="n"/>
      <c r="E27" s="31" t="n"/>
      <c r="F27" s="31">
        <f>SUM(E4:E27)</f>
        <v/>
      </c>
      <c r="G27" s="31" t="n"/>
      <c r="H27" s="31">
        <f>SUM(G4:G27)</f>
        <v/>
      </c>
      <c r="I27" s="32">
        <f>IF(E27=0,"",G27/E27)</f>
        <v/>
      </c>
      <c r="J27" s="31">
        <f>ROUND(G27*0.1,0)</f>
        <v/>
      </c>
      <c r="K27" s="31">
        <f>G27+J27</f>
        <v/>
      </c>
      <c r="L27" s="31" t="n"/>
      <c r="M27" s="31">
        <f>SUM(L4:L27)</f>
        <v/>
      </c>
      <c r="N27" s="31">
        <f>IF(L27=0,"",ROUND(G27/L27,0))</f>
        <v/>
      </c>
      <c r="O27" s="31" t="n"/>
      <c r="P27" s="31">
        <f>SUM(O4:O27)</f>
        <v/>
      </c>
      <c r="Q27" s="31" t="n"/>
      <c r="R27" s="31" t="n"/>
      <c r="S27" s="31" t="n"/>
      <c r="T27" s="31">
        <f>Q27+R27+S27</f>
        <v/>
      </c>
      <c r="U27" s="31">
        <f>SUM(T4:T27)</f>
        <v/>
      </c>
      <c r="V27" s="33">
        <f>IF(SUM(K4:K27)=0,"",U27/SUM(K4:K27))</f>
        <v/>
      </c>
    </row>
    <row r="28" ht="18" customHeight="1">
      <c r="A28" s="8" t="n">
        <v>46167</v>
      </c>
      <c r="B28" s="9" t="inlineStr">
        <is>
          <t>月</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14" t="n">
        <v>46168</v>
      </c>
      <c r="B29" s="15" t="inlineStr">
        <is>
          <t>火</t>
        </is>
      </c>
      <c r="C29" s="15" t="n"/>
      <c r="D29" s="16" t="n"/>
      <c r="E29" s="17" t="n"/>
      <c r="F29" s="17">
        <f>SUM(E4:E29)</f>
        <v/>
      </c>
      <c r="G29" s="17" t="n"/>
      <c r="H29" s="17">
        <f>SUM(G4:G29)</f>
        <v/>
      </c>
      <c r="I29" s="18">
        <f>IF(E29=0,"",G29/E29)</f>
        <v/>
      </c>
      <c r="J29" s="17">
        <f>ROUND(G29*0.1,0)</f>
        <v/>
      </c>
      <c r="K29" s="17">
        <f>G29+J29</f>
        <v/>
      </c>
      <c r="L29" s="17" t="n"/>
      <c r="M29" s="17">
        <f>SUM(L4:L29)</f>
        <v/>
      </c>
      <c r="N29" s="17">
        <f>IF(L29=0,"",ROUND(G29/L29,0))</f>
        <v/>
      </c>
      <c r="O29" s="17" t="n"/>
      <c r="P29" s="17">
        <f>SUM(O4:O29)</f>
        <v/>
      </c>
      <c r="Q29" s="17" t="n"/>
      <c r="R29" s="17" t="n"/>
      <c r="S29" s="17" t="n"/>
      <c r="T29" s="17">
        <f>Q29+R29+S29</f>
        <v/>
      </c>
      <c r="U29" s="17">
        <f>SUM(T4:T29)</f>
        <v/>
      </c>
      <c r="V29" s="19">
        <f>IF(SUM(K4:K29)=0,"",U29/SUM(K4:K29))</f>
        <v/>
      </c>
    </row>
    <row r="30" ht="18" customHeight="1">
      <c r="A30" s="8" t="n">
        <v>46169</v>
      </c>
      <c r="B30" s="9" t="inlineStr">
        <is>
          <t>水</t>
        </is>
      </c>
      <c r="C30" s="9" t="n"/>
      <c r="D30" s="10" t="n"/>
      <c r="E30" s="11" t="n"/>
      <c r="F30" s="11">
        <f>SUM(E4:E30)</f>
        <v/>
      </c>
      <c r="G30" s="11" t="n"/>
      <c r="H30" s="11">
        <f>SUM(G4:G30)</f>
        <v/>
      </c>
      <c r="I30" s="12">
        <f>IF(E30=0,"",G30/E30)</f>
        <v/>
      </c>
      <c r="J30" s="11">
        <f>ROUND(G30*0.1,0)</f>
        <v/>
      </c>
      <c r="K30" s="11">
        <f>G30+J30</f>
        <v/>
      </c>
      <c r="L30" s="11" t="n"/>
      <c r="M30" s="11">
        <f>SUM(L4:L30)</f>
        <v/>
      </c>
      <c r="N30" s="11">
        <f>IF(L30=0,"",ROUND(G30/L30,0))</f>
        <v/>
      </c>
      <c r="O30" s="11" t="n"/>
      <c r="P30" s="11">
        <f>SUM(O4:O30)</f>
        <v/>
      </c>
      <c r="Q30" s="11" t="n"/>
      <c r="R30" s="11" t="n"/>
      <c r="S30" s="11" t="n"/>
      <c r="T30" s="11">
        <f>Q30+R30+S30</f>
        <v/>
      </c>
      <c r="U30" s="11">
        <f>SUM(T4:T30)</f>
        <v/>
      </c>
      <c r="V30" s="13">
        <f>IF(SUM(K4:K30)=0,"",U30/SUM(K4:K30))</f>
        <v/>
      </c>
    </row>
    <row r="31" ht="18" customHeight="1">
      <c r="A31" s="14" t="n">
        <v>46170</v>
      </c>
      <c r="B31" s="15" t="inlineStr">
        <is>
          <t>木</t>
        </is>
      </c>
      <c r="C31" s="15" t="n"/>
      <c r="D31" s="16" t="n"/>
      <c r="E31" s="17" t="n"/>
      <c r="F31" s="17">
        <f>SUM(E4:E31)</f>
        <v/>
      </c>
      <c r="G31" s="17" t="n"/>
      <c r="H31" s="17">
        <f>SUM(G4:G31)</f>
        <v/>
      </c>
      <c r="I31" s="18">
        <f>IF(E31=0,"",G31/E31)</f>
        <v/>
      </c>
      <c r="J31" s="17">
        <f>ROUND(G31*0.1,0)</f>
        <v/>
      </c>
      <c r="K31" s="17">
        <f>G31+J31</f>
        <v/>
      </c>
      <c r="L31" s="17" t="n"/>
      <c r="M31" s="17">
        <f>SUM(L4:L31)</f>
        <v/>
      </c>
      <c r="N31" s="17">
        <f>IF(L31=0,"",ROUND(G31/L31,0))</f>
        <v/>
      </c>
      <c r="O31" s="17" t="n"/>
      <c r="P31" s="17">
        <f>SUM(O4:O31)</f>
        <v/>
      </c>
      <c r="Q31" s="17" t="n"/>
      <c r="R31" s="17" t="n"/>
      <c r="S31" s="17" t="n"/>
      <c r="T31" s="17">
        <f>Q31+R31+S31</f>
        <v/>
      </c>
      <c r="U31" s="17">
        <f>SUM(T4:T31)</f>
        <v/>
      </c>
      <c r="V31" s="19">
        <f>IF(SUM(K4:K31)=0,"",U31/SUM(K4:K31))</f>
        <v/>
      </c>
    </row>
    <row r="32" ht="18" customHeight="1">
      <c r="A32" s="8" t="n">
        <v>46171</v>
      </c>
      <c r="B32" s="9" t="inlineStr">
        <is>
          <t>金</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20" t="n">
        <v>46172</v>
      </c>
      <c r="B33" s="21" t="inlineStr">
        <is>
          <t>土</t>
        </is>
      </c>
      <c r="C33" s="22" t="n"/>
      <c r="D33" s="23" t="n"/>
      <c r="E33" s="24" t="n"/>
      <c r="F33" s="24">
        <f>SUM(E4:E33)</f>
        <v/>
      </c>
      <c r="G33" s="24" t="n"/>
      <c r="H33" s="24">
        <f>SUM(G4:G33)</f>
        <v/>
      </c>
      <c r="I33" s="25">
        <f>IF(E33=0,"",G33/E33)</f>
        <v/>
      </c>
      <c r="J33" s="24">
        <f>ROUND(G33*0.1,0)</f>
        <v/>
      </c>
      <c r="K33" s="24">
        <f>G33+J33</f>
        <v/>
      </c>
      <c r="L33" s="24" t="n"/>
      <c r="M33" s="24">
        <f>SUM(L4:L33)</f>
        <v/>
      </c>
      <c r="N33" s="24">
        <f>IF(L33=0,"",ROUND(G33/L33,0))</f>
        <v/>
      </c>
      <c r="O33" s="24" t="n"/>
      <c r="P33" s="24">
        <f>SUM(O4:O33)</f>
        <v/>
      </c>
      <c r="Q33" s="24" t="n"/>
      <c r="R33" s="24" t="n"/>
      <c r="S33" s="24" t="n"/>
      <c r="T33" s="24">
        <f>Q33+R33+S33</f>
        <v/>
      </c>
      <c r="U33" s="24">
        <f>SUM(T4:T33)</f>
        <v/>
      </c>
      <c r="V33" s="26">
        <f>IF(SUM(K4:K33)=0,"",U33/SUM(K4:K33))</f>
        <v/>
      </c>
    </row>
    <row r="34" ht="18" customHeight="1">
      <c r="A34" s="27" t="n">
        <v>46173</v>
      </c>
      <c r="B34" s="28" t="inlineStr">
        <is>
          <t>日</t>
        </is>
      </c>
      <c r="C34" s="29" t="n"/>
      <c r="D34" s="30" t="n"/>
      <c r="E34" s="31" t="n"/>
      <c r="F34" s="31">
        <f>SUM(E4:E34)</f>
        <v/>
      </c>
      <c r="G34" s="31" t="n"/>
      <c r="H34" s="31">
        <f>SUM(G4:G34)</f>
        <v/>
      </c>
      <c r="I34" s="32">
        <f>IF(E34=0,"",G34/E34)</f>
        <v/>
      </c>
      <c r="J34" s="31">
        <f>ROUND(G34*0.1,0)</f>
        <v/>
      </c>
      <c r="K34" s="31">
        <f>G34+J34</f>
        <v/>
      </c>
      <c r="L34" s="31" t="n"/>
      <c r="M34" s="31">
        <f>SUM(L4:L34)</f>
        <v/>
      </c>
      <c r="N34" s="31">
        <f>IF(L34=0,"",ROUND(G34/L34,0))</f>
        <v/>
      </c>
      <c r="O34" s="31" t="n"/>
      <c r="P34" s="31">
        <f>SUM(O4:O34)</f>
        <v/>
      </c>
      <c r="Q34" s="31" t="n"/>
      <c r="R34" s="31" t="n"/>
      <c r="S34" s="31" t="n"/>
      <c r="T34" s="31">
        <f>Q34+R34+S34</f>
        <v/>
      </c>
      <c r="U34" s="31">
        <f>SUM(T4:T34)</f>
        <v/>
      </c>
      <c r="V34" s="33">
        <f>IF(SUM(K4:K34)=0,"",U34/SUM(K4:K34))</f>
        <v/>
      </c>
    </row>
    <row r="35" ht="22" customHeight="1">
      <c r="A35" s="34" t="inlineStr">
        <is>
          <t>月　合　計</t>
        </is>
      </c>
      <c r="E35" s="35">
        <f>SUM(E4:E34)</f>
        <v/>
      </c>
      <c r="F35" s="35">
        <f>F34</f>
        <v/>
      </c>
      <c r="G35" s="35">
        <f>SUM(G4:G34)</f>
        <v/>
      </c>
      <c r="H35" s="35">
        <f>H34</f>
        <v/>
      </c>
      <c r="I35" s="36">
        <f>IF(E35=0,"",G35/E35)</f>
        <v/>
      </c>
      <c r="J35" s="35">
        <f>ROUND(G35*0.1,0)</f>
        <v/>
      </c>
      <c r="K35" s="35">
        <f>G35+J35</f>
        <v/>
      </c>
      <c r="L35" s="35">
        <f>SUM(L4:L34)</f>
        <v/>
      </c>
      <c r="M35" s="35">
        <f>M34</f>
        <v/>
      </c>
      <c r="N35" s="35">
        <f>IF(L35=0,"",ROUND(G35/L35,0))</f>
        <v/>
      </c>
      <c r="O35" s="35">
        <f>SUM(O4:O34)</f>
        <v/>
      </c>
      <c r="P35" s="35">
        <f>P34</f>
        <v/>
      </c>
      <c r="Q35" s="35">
        <f>SUM(Q4:Q34)</f>
        <v/>
      </c>
      <c r="R35" s="35">
        <f>SUM(R4:R34)</f>
        <v/>
      </c>
      <c r="S35" s="35">
        <f>SUM(S4:S34)</f>
        <v/>
      </c>
      <c r="T35" s="35">
        <f>SUM(T4:T34)</f>
        <v/>
      </c>
      <c r="U35" s="35">
        <f>U34</f>
        <v/>
      </c>
      <c r="V35" s="37">
        <f>IF(K35=0,"",T35/K35)</f>
        <v/>
      </c>
    </row>
    <row r="37">
      <c r="A37" s="38" t="inlineStr">
        <is>
          <t>【凡例】</t>
        </is>
      </c>
    </row>
    <row r="38">
      <c r="A38" s="39" t="inlineStr">
        <is>
          <t>■ 青背景：土曜日</t>
        </is>
      </c>
    </row>
    <row r="39">
      <c r="A39" s="40" t="inlineStr">
        <is>
          <t>■ 赤背景：日曜日</t>
        </is>
      </c>
    </row>
    <row r="40">
      <c r="A40" s="41" t="inlineStr">
        <is>
          <t>■ 緑ヘッダー：従業員入力欄</t>
        </is>
      </c>
    </row>
    <row r="41">
      <c r="A41" s="42" t="inlineStr">
        <is>
          <t>■ グレーヘッダー：自動計算欄（入力不要）</t>
        </is>
      </c>
    </row>
  </sheetData>
  <mergeCells count="7">
    <mergeCell ref="E2:J2"/>
    <mergeCell ref="Q2:U2"/>
    <mergeCell ref="A35:D35"/>
    <mergeCell ref="A1:V1"/>
    <mergeCell ref="L2:O2"/>
    <mergeCell ref="B2:B3"/>
    <mergeCell ref="A2:A3"/>
  </mergeCells>
  <dataValidations count="3">
    <dataValidation sqref="C4 C5 C6 C7 C8 C9 C10 C11 C12 C13 C14 C15 C16 C17 C18 C19 C20 C21 C22 C23 C24 C25 C26 C27 C28 C29 C30 C31 C32 C33 C34"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D34"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E34 G4 G5 G6 G7 G8 G9 G10 G11 G12 G13 G14 G15 G16 G17 G18 G19 G20 G21 G22 G23 G24 G25 G26 G27 G28 G29 G30 G31 G32 G33 G34 L4 L5 L6 L7 L8 L9 L10 L11 L12 L13 L14 L15 L16 L17 L18 L19 L20 L21 L22 L23 L24 L25 L26 L27 L28 L29 L30 L31 L32 L33 L34 O4 O5 O6 O7 O8 O9 O10 O11 O12 O13 O14 O15 O16 O17 O18 O19 O20 O21 O22 O23 O24 O25 O26 O27 O28 O29 O30 O31 O32 O33 O34 Q4 Q5 Q6 Q7 Q8 Q9 Q10 Q11 Q12 Q13 Q14 Q15 Q16 Q17 Q18 Q19 Q20 Q21 Q22 Q23 Q24 Q25 Q26 Q27 Q28 Q29 Q30 Q31 Q32 Q33 Q34 R4 R5 R6 R7 R8 R9 R10 R11 R12 R13 R14 R15 R16 R17 R18 R19 R20 R21 R22 R23 R24 R25 R26 R27 R28 R29 R30 R31 R32 R33 R34 S4 S5 S6 S7 S8 S9 S10 S11 S12 S13 S14 S15 S16 S17 S18 S19 S20 S21 S22 S23 S24 S25 S26 S27 S28 S29 S30 S31 S32 S33 S34"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X40"/>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6月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46174</v>
      </c>
      <c r="B4" s="9" t="inlineStr">
        <is>
          <t>月</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14" t="n">
        <v>46175</v>
      </c>
      <c r="B5" s="15" t="inlineStr">
        <is>
          <t>火</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8" t="n">
        <v>46176</v>
      </c>
      <c r="B6" s="9" t="inlineStr">
        <is>
          <t>水</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14" t="n">
        <v>46177</v>
      </c>
      <c r="B7" s="15" t="inlineStr">
        <is>
          <t>木</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8" t="n">
        <v>46178</v>
      </c>
      <c r="B8" s="9" t="inlineStr">
        <is>
          <t>金</t>
        </is>
      </c>
      <c r="C8" s="9" t="n"/>
      <c r="D8" s="10" t="n"/>
      <c r="E8" s="11" t="n"/>
      <c r="F8" s="11">
        <f>SUM(E4:E8)</f>
        <v/>
      </c>
      <c r="G8" s="11" t="n"/>
      <c r="H8" s="11">
        <f>SUM(G4:G8)</f>
        <v/>
      </c>
      <c r="I8" s="12">
        <f>IF(E8=0,"",G8/E8)</f>
        <v/>
      </c>
      <c r="J8" s="11">
        <f>ROUND(G8*0.1,0)</f>
        <v/>
      </c>
      <c r="K8" s="11">
        <f>G8+J8</f>
        <v/>
      </c>
      <c r="L8" s="11" t="n"/>
      <c r="M8" s="11">
        <f>SUM(L4:L8)</f>
        <v/>
      </c>
      <c r="N8" s="11">
        <f>IF(L8=0,"",ROUND(G8/L8,0))</f>
        <v/>
      </c>
      <c r="O8" s="11" t="n"/>
      <c r="P8" s="11">
        <f>SUM(O4:O8)</f>
        <v/>
      </c>
      <c r="Q8" s="11" t="n"/>
      <c r="R8" s="11" t="n"/>
      <c r="S8" s="11" t="n"/>
      <c r="T8" s="11">
        <f>Q8+R8+S8</f>
        <v/>
      </c>
      <c r="U8" s="11">
        <f>SUM(T4:T8)</f>
        <v/>
      </c>
      <c r="V8" s="13">
        <f>IF(SUM(K4:K8)=0,"",U8/SUM(K4:K8))</f>
        <v/>
      </c>
    </row>
    <row r="9" ht="18" customHeight="1">
      <c r="A9" s="20" t="n">
        <v>46179</v>
      </c>
      <c r="B9" s="21" t="inlineStr">
        <is>
          <t>土</t>
        </is>
      </c>
      <c r="C9" s="22" t="n"/>
      <c r="D9" s="23" t="n"/>
      <c r="E9" s="24" t="n"/>
      <c r="F9" s="24">
        <f>SUM(E4:E9)</f>
        <v/>
      </c>
      <c r="G9" s="24" t="n"/>
      <c r="H9" s="24">
        <f>SUM(G4:G9)</f>
        <v/>
      </c>
      <c r="I9" s="25">
        <f>IF(E9=0,"",G9/E9)</f>
        <v/>
      </c>
      <c r="J9" s="24">
        <f>ROUND(G9*0.1,0)</f>
        <v/>
      </c>
      <c r="K9" s="24">
        <f>G9+J9</f>
        <v/>
      </c>
      <c r="L9" s="24" t="n"/>
      <c r="M9" s="24">
        <f>SUM(L4:L9)</f>
        <v/>
      </c>
      <c r="N9" s="24">
        <f>IF(L9=0,"",ROUND(G9/L9,0))</f>
        <v/>
      </c>
      <c r="O9" s="24" t="n"/>
      <c r="P9" s="24">
        <f>SUM(O4:O9)</f>
        <v/>
      </c>
      <c r="Q9" s="24" t="n"/>
      <c r="R9" s="24" t="n"/>
      <c r="S9" s="24" t="n"/>
      <c r="T9" s="24">
        <f>Q9+R9+S9</f>
        <v/>
      </c>
      <c r="U9" s="24">
        <f>SUM(T4:T9)</f>
        <v/>
      </c>
      <c r="V9" s="26">
        <f>IF(SUM(K4:K9)=0,"",U9/SUM(K4:K9))</f>
        <v/>
      </c>
    </row>
    <row r="10" ht="18" customHeight="1">
      <c r="A10" s="27" t="n">
        <v>46180</v>
      </c>
      <c r="B10" s="28" t="inlineStr">
        <is>
          <t>日</t>
        </is>
      </c>
      <c r="C10" s="29" t="n"/>
      <c r="D10" s="30" t="n"/>
      <c r="E10" s="31" t="n"/>
      <c r="F10" s="31">
        <f>SUM(E4:E10)</f>
        <v/>
      </c>
      <c r="G10" s="31" t="n"/>
      <c r="H10" s="31">
        <f>SUM(G4:G10)</f>
        <v/>
      </c>
      <c r="I10" s="32">
        <f>IF(E10=0,"",G10/E10)</f>
        <v/>
      </c>
      <c r="J10" s="31">
        <f>ROUND(G10*0.1,0)</f>
        <v/>
      </c>
      <c r="K10" s="31">
        <f>G10+J10</f>
        <v/>
      </c>
      <c r="L10" s="31" t="n"/>
      <c r="M10" s="31">
        <f>SUM(L4:L10)</f>
        <v/>
      </c>
      <c r="N10" s="31">
        <f>IF(L10=0,"",ROUND(G10/L10,0))</f>
        <v/>
      </c>
      <c r="O10" s="31" t="n"/>
      <c r="P10" s="31">
        <f>SUM(O4:O10)</f>
        <v/>
      </c>
      <c r="Q10" s="31" t="n"/>
      <c r="R10" s="31" t="n"/>
      <c r="S10" s="31" t="n"/>
      <c r="T10" s="31">
        <f>Q10+R10+S10</f>
        <v/>
      </c>
      <c r="U10" s="31">
        <f>SUM(T4:T10)</f>
        <v/>
      </c>
      <c r="V10" s="33">
        <f>IF(SUM(K4:K10)=0,"",U10/SUM(K4:K10))</f>
        <v/>
      </c>
    </row>
    <row r="11" ht="18" customHeight="1">
      <c r="A11" s="14" t="n">
        <v>46181</v>
      </c>
      <c r="B11" s="15" t="inlineStr">
        <is>
          <t>月</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8" t="n">
        <v>46182</v>
      </c>
      <c r="B12" s="9" t="inlineStr">
        <is>
          <t>火</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14" t="n">
        <v>46183</v>
      </c>
      <c r="B13" s="15" t="inlineStr">
        <is>
          <t>水</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8" t="n">
        <v>46184</v>
      </c>
      <c r="B14" s="9" t="inlineStr">
        <is>
          <t>木</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14" t="n">
        <v>46185</v>
      </c>
      <c r="B15" s="15" t="inlineStr">
        <is>
          <t>金</t>
        </is>
      </c>
      <c r="C15" s="15" t="n"/>
      <c r="D15" s="16" t="n"/>
      <c r="E15" s="17" t="n"/>
      <c r="F15" s="17">
        <f>SUM(E4:E15)</f>
        <v/>
      </c>
      <c r="G15" s="17" t="n"/>
      <c r="H15" s="17">
        <f>SUM(G4:G15)</f>
        <v/>
      </c>
      <c r="I15" s="18">
        <f>IF(E15=0,"",G15/E15)</f>
        <v/>
      </c>
      <c r="J15" s="17">
        <f>ROUND(G15*0.1,0)</f>
        <v/>
      </c>
      <c r="K15" s="17">
        <f>G15+J15</f>
        <v/>
      </c>
      <c r="L15" s="17" t="n"/>
      <c r="M15" s="17">
        <f>SUM(L4:L15)</f>
        <v/>
      </c>
      <c r="N15" s="17">
        <f>IF(L15=0,"",ROUND(G15/L15,0))</f>
        <v/>
      </c>
      <c r="O15" s="17" t="n"/>
      <c r="P15" s="17">
        <f>SUM(O4:O15)</f>
        <v/>
      </c>
      <c r="Q15" s="17" t="n"/>
      <c r="R15" s="17" t="n"/>
      <c r="S15" s="17" t="n"/>
      <c r="T15" s="17">
        <f>Q15+R15+S15</f>
        <v/>
      </c>
      <c r="U15" s="17">
        <f>SUM(T4:T15)</f>
        <v/>
      </c>
      <c r="V15" s="19">
        <f>IF(SUM(K4:K15)=0,"",U15/SUM(K4:K15))</f>
        <v/>
      </c>
    </row>
    <row r="16" ht="18" customHeight="1">
      <c r="A16" s="20" t="n">
        <v>46186</v>
      </c>
      <c r="B16" s="21" t="inlineStr">
        <is>
          <t>土</t>
        </is>
      </c>
      <c r="C16" s="22" t="n"/>
      <c r="D16" s="23" t="n"/>
      <c r="E16" s="24" t="n"/>
      <c r="F16" s="24">
        <f>SUM(E4:E16)</f>
        <v/>
      </c>
      <c r="G16" s="24" t="n"/>
      <c r="H16" s="24">
        <f>SUM(G4:G16)</f>
        <v/>
      </c>
      <c r="I16" s="25">
        <f>IF(E16=0,"",G16/E16)</f>
        <v/>
      </c>
      <c r="J16" s="24">
        <f>ROUND(G16*0.1,0)</f>
        <v/>
      </c>
      <c r="K16" s="24">
        <f>G16+J16</f>
        <v/>
      </c>
      <c r="L16" s="24" t="n"/>
      <c r="M16" s="24">
        <f>SUM(L4:L16)</f>
        <v/>
      </c>
      <c r="N16" s="24">
        <f>IF(L16=0,"",ROUND(G16/L16,0))</f>
        <v/>
      </c>
      <c r="O16" s="24" t="n"/>
      <c r="P16" s="24">
        <f>SUM(O4:O16)</f>
        <v/>
      </c>
      <c r="Q16" s="24" t="n"/>
      <c r="R16" s="24" t="n"/>
      <c r="S16" s="24" t="n"/>
      <c r="T16" s="24">
        <f>Q16+R16+S16</f>
        <v/>
      </c>
      <c r="U16" s="24">
        <f>SUM(T4:T16)</f>
        <v/>
      </c>
      <c r="V16" s="26">
        <f>IF(SUM(K4:K16)=0,"",U16/SUM(K4:K16))</f>
        <v/>
      </c>
    </row>
    <row r="17" ht="18" customHeight="1">
      <c r="A17" s="27" t="n">
        <v>46187</v>
      </c>
      <c r="B17" s="28" t="inlineStr">
        <is>
          <t>日</t>
        </is>
      </c>
      <c r="C17" s="29" t="n"/>
      <c r="D17" s="30" t="n"/>
      <c r="E17" s="31" t="n"/>
      <c r="F17" s="31">
        <f>SUM(E4:E17)</f>
        <v/>
      </c>
      <c r="G17" s="31" t="n"/>
      <c r="H17" s="31">
        <f>SUM(G4:G17)</f>
        <v/>
      </c>
      <c r="I17" s="32">
        <f>IF(E17=0,"",G17/E17)</f>
        <v/>
      </c>
      <c r="J17" s="31">
        <f>ROUND(G17*0.1,0)</f>
        <v/>
      </c>
      <c r="K17" s="31">
        <f>G17+J17</f>
        <v/>
      </c>
      <c r="L17" s="31" t="n"/>
      <c r="M17" s="31">
        <f>SUM(L4:L17)</f>
        <v/>
      </c>
      <c r="N17" s="31">
        <f>IF(L17=0,"",ROUND(G17/L17,0))</f>
        <v/>
      </c>
      <c r="O17" s="31" t="n"/>
      <c r="P17" s="31">
        <f>SUM(O4:O17)</f>
        <v/>
      </c>
      <c r="Q17" s="31" t="n"/>
      <c r="R17" s="31" t="n"/>
      <c r="S17" s="31" t="n"/>
      <c r="T17" s="31">
        <f>Q17+R17+S17</f>
        <v/>
      </c>
      <c r="U17" s="31">
        <f>SUM(T4:T17)</f>
        <v/>
      </c>
      <c r="V17" s="33">
        <f>IF(SUM(K4:K17)=0,"",U17/SUM(K4:K17))</f>
        <v/>
      </c>
    </row>
    <row r="18" ht="18" customHeight="1">
      <c r="A18" s="8" t="n">
        <v>46188</v>
      </c>
      <c r="B18" s="9" t="inlineStr">
        <is>
          <t>月</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14" t="n">
        <v>46189</v>
      </c>
      <c r="B19" s="15" t="inlineStr">
        <is>
          <t>火</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8" t="n">
        <v>46190</v>
      </c>
      <c r="B20" s="9" t="inlineStr">
        <is>
          <t>水</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14" t="n">
        <v>46191</v>
      </c>
      <c r="B21" s="15" t="inlineStr">
        <is>
          <t>木</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8" t="n">
        <v>46192</v>
      </c>
      <c r="B22" s="9" t="inlineStr">
        <is>
          <t>金</t>
        </is>
      </c>
      <c r="C22" s="9" t="n"/>
      <c r="D22" s="10" t="n"/>
      <c r="E22" s="11" t="n"/>
      <c r="F22" s="11">
        <f>SUM(E4:E22)</f>
        <v/>
      </c>
      <c r="G22" s="11" t="n"/>
      <c r="H22" s="11">
        <f>SUM(G4:G22)</f>
        <v/>
      </c>
      <c r="I22" s="12">
        <f>IF(E22=0,"",G22/E22)</f>
        <v/>
      </c>
      <c r="J22" s="11">
        <f>ROUND(G22*0.1,0)</f>
        <v/>
      </c>
      <c r="K22" s="11">
        <f>G22+J22</f>
        <v/>
      </c>
      <c r="L22" s="11" t="n"/>
      <c r="M22" s="11">
        <f>SUM(L4:L22)</f>
        <v/>
      </c>
      <c r="N22" s="11">
        <f>IF(L22=0,"",ROUND(G22/L22,0))</f>
        <v/>
      </c>
      <c r="O22" s="11" t="n"/>
      <c r="P22" s="11">
        <f>SUM(O4:O22)</f>
        <v/>
      </c>
      <c r="Q22" s="11" t="n"/>
      <c r="R22" s="11" t="n"/>
      <c r="S22" s="11" t="n"/>
      <c r="T22" s="11">
        <f>Q22+R22+S22</f>
        <v/>
      </c>
      <c r="U22" s="11">
        <f>SUM(T4:T22)</f>
        <v/>
      </c>
      <c r="V22" s="13">
        <f>IF(SUM(K4:K22)=0,"",U22/SUM(K4:K22))</f>
        <v/>
      </c>
    </row>
    <row r="23" ht="18" customHeight="1">
      <c r="A23" s="20" t="n">
        <v>46193</v>
      </c>
      <c r="B23" s="21" t="inlineStr">
        <is>
          <t>土</t>
        </is>
      </c>
      <c r="C23" s="22" t="n"/>
      <c r="D23" s="23" t="n"/>
      <c r="E23" s="24" t="n"/>
      <c r="F23" s="24">
        <f>SUM(E4:E23)</f>
        <v/>
      </c>
      <c r="G23" s="24" t="n"/>
      <c r="H23" s="24">
        <f>SUM(G4:G23)</f>
        <v/>
      </c>
      <c r="I23" s="25">
        <f>IF(E23=0,"",G23/E23)</f>
        <v/>
      </c>
      <c r="J23" s="24">
        <f>ROUND(G23*0.1,0)</f>
        <v/>
      </c>
      <c r="K23" s="24">
        <f>G23+J23</f>
        <v/>
      </c>
      <c r="L23" s="24" t="n"/>
      <c r="M23" s="24">
        <f>SUM(L4:L23)</f>
        <v/>
      </c>
      <c r="N23" s="24">
        <f>IF(L23=0,"",ROUND(G23/L23,0))</f>
        <v/>
      </c>
      <c r="O23" s="24" t="n"/>
      <c r="P23" s="24">
        <f>SUM(O4:O23)</f>
        <v/>
      </c>
      <c r="Q23" s="24" t="n"/>
      <c r="R23" s="24" t="n"/>
      <c r="S23" s="24" t="n"/>
      <c r="T23" s="24">
        <f>Q23+R23+S23</f>
        <v/>
      </c>
      <c r="U23" s="24">
        <f>SUM(T4:T23)</f>
        <v/>
      </c>
      <c r="V23" s="26">
        <f>IF(SUM(K4:K23)=0,"",U23/SUM(K4:K23))</f>
        <v/>
      </c>
    </row>
    <row r="24" ht="18" customHeight="1">
      <c r="A24" s="27" t="n">
        <v>46194</v>
      </c>
      <c r="B24" s="28" t="inlineStr">
        <is>
          <t>日</t>
        </is>
      </c>
      <c r="C24" s="29" t="n"/>
      <c r="D24" s="30" t="n"/>
      <c r="E24" s="31" t="n"/>
      <c r="F24" s="31">
        <f>SUM(E4:E24)</f>
        <v/>
      </c>
      <c r="G24" s="31" t="n"/>
      <c r="H24" s="31">
        <f>SUM(G4:G24)</f>
        <v/>
      </c>
      <c r="I24" s="32">
        <f>IF(E24=0,"",G24/E24)</f>
        <v/>
      </c>
      <c r="J24" s="31">
        <f>ROUND(G24*0.1,0)</f>
        <v/>
      </c>
      <c r="K24" s="31">
        <f>G24+J24</f>
        <v/>
      </c>
      <c r="L24" s="31" t="n"/>
      <c r="M24" s="31">
        <f>SUM(L4:L24)</f>
        <v/>
      </c>
      <c r="N24" s="31">
        <f>IF(L24=0,"",ROUND(G24/L24,0))</f>
        <v/>
      </c>
      <c r="O24" s="31" t="n"/>
      <c r="P24" s="31">
        <f>SUM(O4:O24)</f>
        <v/>
      </c>
      <c r="Q24" s="31" t="n"/>
      <c r="R24" s="31" t="n"/>
      <c r="S24" s="31" t="n"/>
      <c r="T24" s="31">
        <f>Q24+R24+S24</f>
        <v/>
      </c>
      <c r="U24" s="31">
        <f>SUM(T4:T24)</f>
        <v/>
      </c>
      <c r="V24" s="33">
        <f>IF(SUM(K4:K24)=0,"",U24/SUM(K4:K24))</f>
        <v/>
      </c>
    </row>
    <row r="25" ht="18" customHeight="1">
      <c r="A25" s="14" t="n">
        <v>46195</v>
      </c>
      <c r="B25" s="15" t="inlineStr">
        <is>
          <t>月</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8" t="n">
        <v>46196</v>
      </c>
      <c r="B26" s="9" t="inlineStr">
        <is>
          <t>火</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14" t="n">
        <v>46197</v>
      </c>
      <c r="B27" s="15" t="inlineStr">
        <is>
          <t>水</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8" t="n">
        <v>46198</v>
      </c>
      <c r="B28" s="9" t="inlineStr">
        <is>
          <t>木</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14" t="n">
        <v>46199</v>
      </c>
      <c r="B29" s="15" t="inlineStr">
        <is>
          <t>金</t>
        </is>
      </c>
      <c r="C29" s="15" t="n"/>
      <c r="D29" s="16" t="n"/>
      <c r="E29" s="17" t="n"/>
      <c r="F29" s="17">
        <f>SUM(E4:E29)</f>
        <v/>
      </c>
      <c r="G29" s="17" t="n"/>
      <c r="H29" s="17">
        <f>SUM(G4:G29)</f>
        <v/>
      </c>
      <c r="I29" s="18">
        <f>IF(E29=0,"",G29/E29)</f>
        <v/>
      </c>
      <c r="J29" s="17">
        <f>ROUND(G29*0.1,0)</f>
        <v/>
      </c>
      <c r="K29" s="17">
        <f>G29+J29</f>
        <v/>
      </c>
      <c r="L29" s="17" t="n"/>
      <c r="M29" s="17">
        <f>SUM(L4:L29)</f>
        <v/>
      </c>
      <c r="N29" s="17">
        <f>IF(L29=0,"",ROUND(G29/L29,0))</f>
        <v/>
      </c>
      <c r="O29" s="17" t="n"/>
      <c r="P29" s="17">
        <f>SUM(O4:O29)</f>
        <v/>
      </c>
      <c r="Q29" s="17" t="n"/>
      <c r="R29" s="17" t="n"/>
      <c r="S29" s="17" t="n"/>
      <c r="T29" s="17">
        <f>Q29+R29+S29</f>
        <v/>
      </c>
      <c r="U29" s="17">
        <f>SUM(T4:T29)</f>
        <v/>
      </c>
      <c r="V29" s="19">
        <f>IF(SUM(K4:K29)=0,"",U29/SUM(K4:K29))</f>
        <v/>
      </c>
    </row>
    <row r="30" ht="18" customHeight="1">
      <c r="A30" s="20" t="n">
        <v>46200</v>
      </c>
      <c r="B30" s="21" t="inlineStr">
        <is>
          <t>土</t>
        </is>
      </c>
      <c r="C30" s="22" t="n"/>
      <c r="D30" s="23" t="n"/>
      <c r="E30" s="24" t="n"/>
      <c r="F30" s="24">
        <f>SUM(E4:E30)</f>
        <v/>
      </c>
      <c r="G30" s="24" t="n"/>
      <c r="H30" s="24">
        <f>SUM(G4:G30)</f>
        <v/>
      </c>
      <c r="I30" s="25">
        <f>IF(E30=0,"",G30/E30)</f>
        <v/>
      </c>
      <c r="J30" s="24">
        <f>ROUND(G30*0.1,0)</f>
        <v/>
      </c>
      <c r="K30" s="24">
        <f>G30+J30</f>
        <v/>
      </c>
      <c r="L30" s="24" t="n"/>
      <c r="M30" s="24">
        <f>SUM(L4:L30)</f>
        <v/>
      </c>
      <c r="N30" s="24">
        <f>IF(L30=0,"",ROUND(G30/L30,0))</f>
        <v/>
      </c>
      <c r="O30" s="24" t="n"/>
      <c r="P30" s="24">
        <f>SUM(O4:O30)</f>
        <v/>
      </c>
      <c r="Q30" s="24" t="n"/>
      <c r="R30" s="24" t="n"/>
      <c r="S30" s="24" t="n"/>
      <c r="T30" s="24">
        <f>Q30+R30+S30</f>
        <v/>
      </c>
      <c r="U30" s="24">
        <f>SUM(T4:T30)</f>
        <v/>
      </c>
      <c r="V30" s="26">
        <f>IF(SUM(K4:K30)=0,"",U30/SUM(K4:K30))</f>
        <v/>
      </c>
    </row>
    <row r="31" ht="18" customHeight="1">
      <c r="A31" s="27" t="n">
        <v>46201</v>
      </c>
      <c r="B31" s="28" t="inlineStr">
        <is>
          <t>日</t>
        </is>
      </c>
      <c r="C31" s="29" t="n"/>
      <c r="D31" s="30" t="n"/>
      <c r="E31" s="31" t="n"/>
      <c r="F31" s="31">
        <f>SUM(E4:E31)</f>
        <v/>
      </c>
      <c r="G31" s="31" t="n"/>
      <c r="H31" s="31">
        <f>SUM(G4:G31)</f>
        <v/>
      </c>
      <c r="I31" s="32">
        <f>IF(E31=0,"",G31/E31)</f>
        <v/>
      </c>
      <c r="J31" s="31">
        <f>ROUND(G31*0.1,0)</f>
        <v/>
      </c>
      <c r="K31" s="31">
        <f>G31+J31</f>
        <v/>
      </c>
      <c r="L31" s="31" t="n"/>
      <c r="M31" s="31">
        <f>SUM(L4:L31)</f>
        <v/>
      </c>
      <c r="N31" s="31">
        <f>IF(L31=0,"",ROUND(G31/L31,0))</f>
        <v/>
      </c>
      <c r="O31" s="31" t="n"/>
      <c r="P31" s="31">
        <f>SUM(O4:O31)</f>
        <v/>
      </c>
      <c r="Q31" s="31" t="n"/>
      <c r="R31" s="31" t="n"/>
      <c r="S31" s="31" t="n"/>
      <c r="T31" s="31">
        <f>Q31+R31+S31</f>
        <v/>
      </c>
      <c r="U31" s="31">
        <f>SUM(T4:T31)</f>
        <v/>
      </c>
      <c r="V31" s="33">
        <f>IF(SUM(K4:K31)=0,"",U31/SUM(K4:K31))</f>
        <v/>
      </c>
    </row>
    <row r="32" ht="18" customHeight="1">
      <c r="A32" s="8" t="n">
        <v>46202</v>
      </c>
      <c r="B32" s="9" t="inlineStr">
        <is>
          <t>月</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14" t="n">
        <v>46203</v>
      </c>
      <c r="B33" s="15" t="inlineStr">
        <is>
          <t>火</t>
        </is>
      </c>
      <c r="C33" s="15" t="n"/>
      <c r="D33" s="16" t="n"/>
      <c r="E33" s="17" t="n"/>
      <c r="F33" s="17">
        <f>SUM(E4:E33)</f>
        <v/>
      </c>
      <c r="G33" s="17" t="n"/>
      <c r="H33" s="17">
        <f>SUM(G4:G33)</f>
        <v/>
      </c>
      <c r="I33" s="18">
        <f>IF(E33=0,"",G33/E33)</f>
        <v/>
      </c>
      <c r="J33" s="17">
        <f>ROUND(G33*0.1,0)</f>
        <v/>
      </c>
      <c r="K33" s="17">
        <f>G33+J33</f>
        <v/>
      </c>
      <c r="L33" s="17" t="n"/>
      <c r="M33" s="17">
        <f>SUM(L4:L33)</f>
        <v/>
      </c>
      <c r="N33" s="17">
        <f>IF(L33=0,"",ROUND(G33/L33,0))</f>
        <v/>
      </c>
      <c r="O33" s="17" t="n"/>
      <c r="P33" s="17">
        <f>SUM(O4:O33)</f>
        <v/>
      </c>
      <c r="Q33" s="17" t="n"/>
      <c r="R33" s="17" t="n"/>
      <c r="S33" s="17" t="n"/>
      <c r="T33" s="17">
        <f>Q33+R33+S33</f>
        <v/>
      </c>
      <c r="U33" s="17">
        <f>SUM(T4:T33)</f>
        <v/>
      </c>
      <c r="V33" s="19">
        <f>IF(SUM(K4:K33)=0,"",U33/SUM(K4:K33))</f>
        <v/>
      </c>
    </row>
    <row r="34" ht="22" customHeight="1">
      <c r="A34" s="34" t="inlineStr">
        <is>
          <t>月　合　計</t>
        </is>
      </c>
      <c r="E34" s="35">
        <f>SUM(E4:E33)</f>
        <v/>
      </c>
      <c r="F34" s="35">
        <f>F33</f>
        <v/>
      </c>
      <c r="G34" s="35">
        <f>SUM(G4:G33)</f>
        <v/>
      </c>
      <c r="H34" s="35">
        <f>H33</f>
        <v/>
      </c>
      <c r="I34" s="36">
        <f>IF(E34=0,"",G34/E34)</f>
        <v/>
      </c>
      <c r="J34" s="35">
        <f>ROUND(G34*0.1,0)</f>
        <v/>
      </c>
      <c r="K34" s="35">
        <f>G34+J34</f>
        <v/>
      </c>
      <c r="L34" s="35">
        <f>SUM(L4:L33)</f>
        <v/>
      </c>
      <c r="M34" s="35">
        <f>M33</f>
        <v/>
      </c>
      <c r="N34" s="35">
        <f>IF(L34=0,"",ROUND(G34/L34,0))</f>
        <v/>
      </c>
      <c r="O34" s="35">
        <f>SUM(O4:O33)</f>
        <v/>
      </c>
      <c r="P34" s="35">
        <f>P33</f>
        <v/>
      </c>
      <c r="Q34" s="35">
        <f>SUM(Q4:Q33)</f>
        <v/>
      </c>
      <c r="R34" s="35">
        <f>SUM(R4:R33)</f>
        <v/>
      </c>
      <c r="S34" s="35">
        <f>SUM(S4:S33)</f>
        <v/>
      </c>
      <c r="T34" s="35">
        <f>SUM(T4:T33)</f>
        <v/>
      </c>
      <c r="U34" s="35">
        <f>U33</f>
        <v/>
      </c>
      <c r="V34" s="37">
        <f>IF(K34=0,"",T34/K34)</f>
        <v/>
      </c>
    </row>
    <row r="36">
      <c r="A36" s="38" t="inlineStr">
        <is>
          <t>【凡例】</t>
        </is>
      </c>
    </row>
    <row r="37">
      <c r="A37" s="39" t="inlineStr">
        <is>
          <t>■ 青背景：土曜日</t>
        </is>
      </c>
    </row>
    <row r="38">
      <c r="A38" s="40" t="inlineStr">
        <is>
          <t>■ 赤背景：日曜日</t>
        </is>
      </c>
    </row>
    <row r="39">
      <c r="A39" s="41" t="inlineStr">
        <is>
          <t>■ 緑ヘッダー：従業員入力欄</t>
        </is>
      </c>
    </row>
    <row r="40">
      <c r="A40" s="42" t="inlineStr">
        <is>
          <t>■ グレーヘッダー：自動計算欄（入力不要）</t>
        </is>
      </c>
    </row>
  </sheetData>
  <mergeCells count="7">
    <mergeCell ref="E2:J2"/>
    <mergeCell ref="Q2:U2"/>
    <mergeCell ref="A34:D34"/>
    <mergeCell ref="A1:V1"/>
    <mergeCell ref="L2:O2"/>
    <mergeCell ref="B2:B3"/>
    <mergeCell ref="A2:A3"/>
  </mergeCells>
  <dataValidations count="3">
    <dataValidation sqref="C4 C5 C6 C7 C8 C9 C10 C11 C12 C13 C14 C15 C16 C17 C18 C19 C20 C21 C22 C23 C24 C25 C26 C27 C28 C29 C30 C31 C32 C33"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G4 G5 G6 G7 G8 G9 G10 G11 G12 G13 G14 G15 G16 G17 G18 G19 G20 G21 G22 G23 G24 G25 G26 G27 G28 G29 G30 G31 G32 G33 L4 L5 L6 L7 L8 L9 L10 L11 L12 L13 L14 L15 L16 L17 L18 L19 L20 L21 L22 L23 L24 L25 L26 L27 L28 L29 L30 L31 L32 L33 O4 O5 O6 O7 O8 O9 O10 O11 O12 O13 O14 O15 O16 O17 O18 O19 O20 O21 O22 O23 O24 O25 O26 O27 O28 O29 O30 O31 O32 O33 Q4 Q5 Q6 Q7 Q8 Q9 Q10 Q11 Q12 Q13 Q14 Q15 Q16 Q17 Q18 Q19 Q20 Q21 Q22 Q23 Q24 Q25 Q26 Q27 Q28 Q29 Q30 Q31 Q32 Q33 R4 R5 R6 R7 R8 R9 R10 R11 R12 R13 R14 R15 R16 R17 R18 R19 R20 R21 R22 R23 R24 R25 R26 R27 R28 R29 R30 R31 R32 R33 S4 S5 S6 S7 S8 S9 S10 S11 S12 S13 S14 S15 S16 S17 S18 S19 S20 S21 S22 S23 S24 S25 S26 S27 S28 S29 S30 S31 S32 S33"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X4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7月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46204</v>
      </c>
      <c r="B4" s="9" t="inlineStr">
        <is>
          <t>水</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14" t="n">
        <v>46205</v>
      </c>
      <c r="B5" s="15" t="inlineStr">
        <is>
          <t>木</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8" t="n">
        <v>46206</v>
      </c>
      <c r="B6" s="9" t="inlineStr">
        <is>
          <t>金</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20" t="n">
        <v>46207</v>
      </c>
      <c r="B7" s="21" t="inlineStr">
        <is>
          <t>土</t>
        </is>
      </c>
      <c r="C7" s="22" t="n"/>
      <c r="D7" s="23" t="n"/>
      <c r="E7" s="24" t="n"/>
      <c r="F7" s="24">
        <f>SUM(E4:E7)</f>
        <v/>
      </c>
      <c r="G7" s="24" t="n"/>
      <c r="H7" s="24">
        <f>SUM(G4:G7)</f>
        <v/>
      </c>
      <c r="I7" s="25">
        <f>IF(E7=0,"",G7/E7)</f>
        <v/>
      </c>
      <c r="J7" s="24">
        <f>ROUND(G7*0.1,0)</f>
        <v/>
      </c>
      <c r="K7" s="24">
        <f>G7+J7</f>
        <v/>
      </c>
      <c r="L7" s="24" t="n"/>
      <c r="M7" s="24">
        <f>SUM(L4:L7)</f>
        <v/>
      </c>
      <c r="N7" s="24">
        <f>IF(L7=0,"",ROUND(G7/L7,0))</f>
        <v/>
      </c>
      <c r="O7" s="24" t="n"/>
      <c r="P7" s="24">
        <f>SUM(O4:O7)</f>
        <v/>
      </c>
      <c r="Q7" s="24" t="n"/>
      <c r="R7" s="24" t="n"/>
      <c r="S7" s="24" t="n"/>
      <c r="T7" s="24">
        <f>Q7+R7+S7</f>
        <v/>
      </c>
      <c r="U7" s="24">
        <f>SUM(T4:T7)</f>
        <v/>
      </c>
      <c r="V7" s="26">
        <f>IF(SUM(K4:K7)=0,"",U7/SUM(K4:K7))</f>
        <v/>
      </c>
    </row>
    <row r="8" ht="18" customHeight="1">
      <c r="A8" s="27" t="n">
        <v>46208</v>
      </c>
      <c r="B8" s="28" t="inlineStr">
        <is>
          <t>日</t>
        </is>
      </c>
      <c r="C8" s="29" t="n"/>
      <c r="D8" s="30" t="n"/>
      <c r="E8" s="31" t="n"/>
      <c r="F8" s="31">
        <f>SUM(E4:E8)</f>
        <v/>
      </c>
      <c r="G8" s="31" t="n"/>
      <c r="H8" s="31">
        <f>SUM(G4:G8)</f>
        <v/>
      </c>
      <c r="I8" s="32">
        <f>IF(E8=0,"",G8/E8)</f>
        <v/>
      </c>
      <c r="J8" s="31">
        <f>ROUND(G8*0.1,0)</f>
        <v/>
      </c>
      <c r="K8" s="31">
        <f>G8+J8</f>
        <v/>
      </c>
      <c r="L8" s="31" t="n"/>
      <c r="M8" s="31">
        <f>SUM(L4:L8)</f>
        <v/>
      </c>
      <c r="N8" s="31">
        <f>IF(L8=0,"",ROUND(G8/L8,0))</f>
        <v/>
      </c>
      <c r="O8" s="31" t="n"/>
      <c r="P8" s="31">
        <f>SUM(O4:O8)</f>
        <v/>
      </c>
      <c r="Q8" s="31" t="n"/>
      <c r="R8" s="31" t="n"/>
      <c r="S8" s="31" t="n"/>
      <c r="T8" s="31">
        <f>Q8+R8+S8</f>
        <v/>
      </c>
      <c r="U8" s="31">
        <f>SUM(T4:T8)</f>
        <v/>
      </c>
      <c r="V8" s="33">
        <f>IF(SUM(K4:K8)=0,"",U8/SUM(K4:K8))</f>
        <v/>
      </c>
    </row>
    <row r="9" ht="18" customHeight="1">
      <c r="A9" s="14" t="n">
        <v>46209</v>
      </c>
      <c r="B9" s="15" t="inlineStr">
        <is>
          <t>月</t>
        </is>
      </c>
      <c r="C9" s="15" t="n"/>
      <c r="D9" s="16" t="n"/>
      <c r="E9" s="17" t="n"/>
      <c r="F9" s="17">
        <f>SUM(E4:E9)</f>
        <v/>
      </c>
      <c r="G9" s="17" t="n"/>
      <c r="H9" s="17">
        <f>SUM(G4:G9)</f>
        <v/>
      </c>
      <c r="I9" s="18">
        <f>IF(E9=0,"",G9/E9)</f>
        <v/>
      </c>
      <c r="J9" s="17">
        <f>ROUND(G9*0.1,0)</f>
        <v/>
      </c>
      <c r="K9" s="17">
        <f>G9+J9</f>
        <v/>
      </c>
      <c r="L9" s="17" t="n"/>
      <c r="M9" s="17">
        <f>SUM(L4:L9)</f>
        <v/>
      </c>
      <c r="N9" s="17">
        <f>IF(L9=0,"",ROUND(G9/L9,0))</f>
        <v/>
      </c>
      <c r="O9" s="17" t="n"/>
      <c r="P9" s="17">
        <f>SUM(O4:O9)</f>
        <v/>
      </c>
      <c r="Q9" s="17" t="n"/>
      <c r="R9" s="17" t="n"/>
      <c r="S9" s="17" t="n"/>
      <c r="T9" s="17">
        <f>Q9+R9+S9</f>
        <v/>
      </c>
      <c r="U9" s="17">
        <f>SUM(T4:T9)</f>
        <v/>
      </c>
      <c r="V9" s="19">
        <f>IF(SUM(K4:K9)=0,"",U9/SUM(K4:K9))</f>
        <v/>
      </c>
    </row>
    <row r="10" ht="18" customHeight="1">
      <c r="A10" s="8" t="n">
        <v>46210</v>
      </c>
      <c r="B10" s="9" t="inlineStr">
        <is>
          <t>火</t>
        </is>
      </c>
      <c r="C10" s="9" t="n"/>
      <c r="D10" s="10" t="n"/>
      <c r="E10" s="11" t="n"/>
      <c r="F10" s="11">
        <f>SUM(E4:E10)</f>
        <v/>
      </c>
      <c r="G10" s="11" t="n"/>
      <c r="H10" s="11">
        <f>SUM(G4:G10)</f>
        <v/>
      </c>
      <c r="I10" s="12">
        <f>IF(E10=0,"",G10/E10)</f>
        <v/>
      </c>
      <c r="J10" s="11">
        <f>ROUND(G10*0.1,0)</f>
        <v/>
      </c>
      <c r="K10" s="11">
        <f>G10+J10</f>
        <v/>
      </c>
      <c r="L10" s="11" t="n"/>
      <c r="M10" s="11">
        <f>SUM(L4:L10)</f>
        <v/>
      </c>
      <c r="N10" s="11">
        <f>IF(L10=0,"",ROUND(G10/L10,0))</f>
        <v/>
      </c>
      <c r="O10" s="11" t="n"/>
      <c r="P10" s="11">
        <f>SUM(O4:O10)</f>
        <v/>
      </c>
      <c r="Q10" s="11" t="n"/>
      <c r="R10" s="11" t="n"/>
      <c r="S10" s="11" t="n"/>
      <c r="T10" s="11">
        <f>Q10+R10+S10</f>
        <v/>
      </c>
      <c r="U10" s="11">
        <f>SUM(T4:T10)</f>
        <v/>
      </c>
      <c r="V10" s="13">
        <f>IF(SUM(K4:K10)=0,"",U10/SUM(K4:K10))</f>
        <v/>
      </c>
    </row>
    <row r="11" ht="18" customHeight="1">
      <c r="A11" s="14" t="n">
        <v>46211</v>
      </c>
      <c r="B11" s="15" t="inlineStr">
        <is>
          <t>水</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8" t="n">
        <v>46212</v>
      </c>
      <c r="B12" s="9" t="inlineStr">
        <is>
          <t>木</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14" t="n">
        <v>46213</v>
      </c>
      <c r="B13" s="15" t="inlineStr">
        <is>
          <t>金</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20" t="n">
        <v>46214</v>
      </c>
      <c r="B14" s="21" t="inlineStr">
        <is>
          <t>土</t>
        </is>
      </c>
      <c r="C14" s="22" t="n"/>
      <c r="D14" s="23" t="n"/>
      <c r="E14" s="24" t="n"/>
      <c r="F14" s="24">
        <f>SUM(E4:E14)</f>
        <v/>
      </c>
      <c r="G14" s="24" t="n"/>
      <c r="H14" s="24">
        <f>SUM(G4:G14)</f>
        <v/>
      </c>
      <c r="I14" s="25">
        <f>IF(E14=0,"",G14/E14)</f>
        <v/>
      </c>
      <c r="J14" s="24">
        <f>ROUND(G14*0.1,0)</f>
        <v/>
      </c>
      <c r="K14" s="24">
        <f>G14+J14</f>
        <v/>
      </c>
      <c r="L14" s="24" t="n"/>
      <c r="M14" s="24">
        <f>SUM(L4:L14)</f>
        <v/>
      </c>
      <c r="N14" s="24">
        <f>IF(L14=0,"",ROUND(G14/L14,0))</f>
        <v/>
      </c>
      <c r="O14" s="24" t="n"/>
      <c r="P14" s="24">
        <f>SUM(O4:O14)</f>
        <v/>
      </c>
      <c r="Q14" s="24" t="n"/>
      <c r="R14" s="24" t="n"/>
      <c r="S14" s="24" t="n"/>
      <c r="T14" s="24">
        <f>Q14+R14+S14</f>
        <v/>
      </c>
      <c r="U14" s="24">
        <f>SUM(T4:T14)</f>
        <v/>
      </c>
      <c r="V14" s="26">
        <f>IF(SUM(K4:K14)=0,"",U14/SUM(K4:K14))</f>
        <v/>
      </c>
    </row>
    <row r="15" ht="18" customHeight="1">
      <c r="A15" s="27" t="n">
        <v>46215</v>
      </c>
      <c r="B15" s="28" t="inlineStr">
        <is>
          <t>日</t>
        </is>
      </c>
      <c r="C15" s="29" t="n"/>
      <c r="D15" s="30" t="n"/>
      <c r="E15" s="31" t="n"/>
      <c r="F15" s="31">
        <f>SUM(E4:E15)</f>
        <v/>
      </c>
      <c r="G15" s="31" t="n"/>
      <c r="H15" s="31">
        <f>SUM(G4:G15)</f>
        <v/>
      </c>
      <c r="I15" s="32">
        <f>IF(E15=0,"",G15/E15)</f>
        <v/>
      </c>
      <c r="J15" s="31">
        <f>ROUND(G15*0.1,0)</f>
        <v/>
      </c>
      <c r="K15" s="31">
        <f>G15+J15</f>
        <v/>
      </c>
      <c r="L15" s="31" t="n"/>
      <c r="M15" s="31">
        <f>SUM(L4:L15)</f>
        <v/>
      </c>
      <c r="N15" s="31">
        <f>IF(L15=0,"",ROUND(G15/L15,0))</f>
        <v/>
      </c>
      <c r="O15" s="31" t="n"/>
      <c r="P15" s="31">
        <f>SUM(O4:O15)</f>
        <v/>
      </c>
      <c r="Q15" s="31" t="n"/>
      <c r="R15" s="31" t="n"/>
      <c r="S15" s="31" t="n"/>
      <c r="T15" s="31">
        <f>Q15+R15+S15</f>
        <v/>
      </c>
      <c r="U15" s="31">
        <f>SUM(T4:T15)</f>
        <v/>
      </c>
      <c r="V15" s="33">
        <f>IF(SUM(K4:K15)=0,"",U15/SUM(K4:K15))</f>
        <v/>
      </c>
    </row>
    <row r="16" ht="18" customHeight="1">
      <c r="A16" s="8" t="n">
        <v>46216</v>
      </c>
      <c r="B16" s="9" t="inlineStr">
        <is>
          <t>月</t>
        </is>
      </c>
      <c r="C16" s="9" t="n"/>
      <c r="D16" s="10" t="n"/>
      <c r="E16" s="11" t="n"/>
      <c r="F16" s="11">
        <f>SUM(E4:E16)</f>
        <v/>
      </c>
      <c r="G16" s="11" t="n"/>
      <c r="H16" s="11">
        <f>SUM(G4:G16)</f>
        <v/>
      </c>
      <c r="I16" s="12">
        <f>IF(E16=0,"",G16/E16)</f>
        <v/>
      </c>
      <c r="J16" s="11">
        <f>ROUND(G16*0.1,0)</f>
        <v/>
      </c>
      <c r="K16" s="11">
        <f>G16+J16</f>
        <v/>
      </c>
      <c r="L16" s="11" t="n"/>
      <c r="M16" s="11">
        <f>SUM(L4:L16)</f>
        <v/>
      </c>
      <c r="N16" s="11">
        <f>IF(L16=0,"",ROUND(G16/L16,0))</f>
        <v/>
      </c>
      <c r="O16" s="11" t="n"/>
      <c r="P16" s="11">
        <f>SUM(O4:O16)</f>
        <v/>
      </c>
      <c r="Q16" s="11" t="n"/>
      <c r="R16" s="11" t="n"/>
      <c r="S16" s="11" t="n"/>
      <c r="T16" s="11">
        <f>Q16+R16+S16</f>
        <v/>
      </c>
      <c r="U16" s="11">
        <f>SUM(T4:T16)</f>
        <v/>
      </c>
      <c r="V16" s="13">
        <f>IF(SUM(K4:K16)=0,"",U16/SUM(K4:K16))</f>
        <v/>
      </c>
    </row>
    <row r="17" ht="18" customHeight="1">
      <c r="A17" s="14" t="n">
        <v>46217</v>
      </c>
      <c r="B17" s="15" t="inlineStr">
        <is>
          <t>火</t>
        </is>
      </c>
      <c r="C17" s="15" t="n"/>
      <c r="D17" s="16" t="n"/>
      <c r="E17" s="17" t="n"/>
      <c r="F17" s="17">
        <f>SUM(E4:E17)</f>
        <v/>
      </c>
      <c r="G17" s="17" t="n"/>
      <c r="H17" s="17">
        <f>SUM(G4:G17)</f>
        <v/>
      </c>
      <c r="I17" s="18">
        <f>IF(E17=0,"",G17/E17)</f>
        <v/>
      </c>
      <c r="J17" s="17">
        <f>ROUND(G17*0.1,0)</f>
        <v/>
      </c>
      <c r="K17" s="17">
        <f>G17+J17</f>
        <v/>
      </c>
      <c r="L17" s="17" t="n"/>
      <c r="M17" s="17">
        <f>SUM(L4:L17)</f>
        <v/>
      </c>
      <c r="N17" s="17">
        <f>IF(L17=0,"",ROUND(G17/L17,0))</f>
        <v/>
      </c>
      <c r="O17" s="17" t="n"/>
      <c r="P17" s="17">
        <f>SUM(O4:O17)</f>
        <v/>
      </c>
      <c r="Q17" s="17" t="n"/>
      <c r="R17" s="17" t="n"/>
      <c r="S17" s="17" t="n"/>
      <c r="T17" s="17">
        <f>Q17+R17+S17</f>
        <v/>
      </c>
      <c r="U17" s="17">
        <f>SUM(T4:T17)</f>
        <v/>
      </c>
      <c r="V17" s="19">
        <f>IF(SUM(K4:K17)=0,"",U17/SUM(K4:K17))</f>
        <v/>
      </c>
    </row>
    <row r="18" ht="18" customHeight="1">
      <c r="A18" s="8" t="n">
        <v>46218</v>
      </c>
      <c r="B18" s="9" t="inlineStr">
        <is>
          <t>水</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14" t="n">
        <v>46219</v>
      </c>
      <c r="B19" s="15" t="inlineStr">
        <is>
          <t>木</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8" t="n">
        <v>46220</v>
      </c>
      <c r="B20" s="9" t="inlineStr">
        <is>
          <t>金</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20" t="n">
        <v>46221</v>
      </c>
      <c r="B21" s="21" t="inlineStr">
        <is>
          <t>土</t>
        </is>
      </c>
      <c r="C21" s="22" t="n"/>
      <c r="D21" s="23" t="n"/>
      <c r="E21" s="24" t="n"/>
      <c r="F21" s="24">
        <f>SUM(E4:E21)</f>
        <v/>
      </c>
      <c r="G21" s="24" t="n"/>
      <c r="H21" s="24">
        <f>SUM(G4:G21)</f>
        <v/>
      </c>
      <c r="I21" s="25">
        <f>IF(E21=0,"",G21/E21)</f>
        <v/>
      </c>
      <c r="J21" s="24">
        <f>ROUND(G21*0.1,0)</f>
        <v/>
      </c>
      <c r="K21" s="24">
        <f>G21+J21</f>
        <v/>
      </c>
      <c r="L21" s="24" t="n"/>
      <c r="M21" s="24">
        <f>SUM(L4:L21)</f>
        <v/>
      </c>
      <c r="N21" s="24">
        <f>IF(L21=0,"",ROUND(G21/L21,0))</f>
        <v/>
      </c>
      <c r="O21" s="24" t="n"/>
      <c r="P21" s="24">
        <f>SUM(O4:O21)</f>
        <v/>
      </c>
      <c r="Q21" s="24" t="n"/>
      <c r="R21" s="24" t="n"/>
      <c r="S21" s="24" t="n"/>
      <c r="T21" s="24">
        <f>Q21+R21+S21</f>
        <v/>
      </c>
      <c r="U21" s="24">
        <f>SUM(T4:T21)</f>
        <v/>
      </c>
      <c r="V21" s="26">
        <f>IF(SUM(K4:K21)=0,"",U21/SUM(K4:K21))</f>
        <v/>
      </c>
    </row>
    <row r="22" ht="18" customHeight="1">
      <c r="A22" s="27" t="n">
        <v>46222</v>
      </c>
      <c r="B22" s="28" t="inlineStr">
        <is>
          <t>日</t>
        </is>
      </c>
      <c r="C22" s="29" t="n"/>
      <c r="D22" s="30" t="n"/>
      <c r="E22" s="31" t="n"/>
      <c r="F22" s="31">
        <f>SUM(E4:E22)</f>
        <v/>
      </c>
      <c r="G22" s="31" t="n"/>
      <c r="H22" s="31">
        <f>SUM(G4:G22)</f>
        <v/>
      </c>
      <c r="I22" s="32">
        <f>IF(E22=0,"",G22/E22)</f>
        <v/>
      </c>
      <c r="J22" s="31">
        <f>ROUND(G22*0.1,0)</f>
        <v/>
      </c>
      <c r="K22" s="31">
        <f>G22+J22</f>
        <v/>
      </c>
      <c r="L22" s="31" t="n"/>
      <c r="M22" s="31">
        <f>SUM(L4:L22)</f>
        <v/>
      </c>
      <c r="N22" s="31">
        <f>IF(L22=0,"",ROUND(G22/L22,0))</f>
        <v/>
      </c>
      <c r="O22" s="31" t="n"/>
      <c r="P22" s="31">
        <f>SUM(O4:O22)</f>
        <v/>
      </c>
      <c r="Q22" s="31" t="n"/>
      <c r="R22" s="31" t="n"/>
      <c r="S22" s="31" t="n"/>
      <c r="T22" s="31">
        <f>Q22+R22+S22</f>
        <v/>
      </c>
      <c r="U22" s="31">
        <f>SUM(T4:T22)</f>
        <v/>
      </c>
      <c r="V22" s="33">
        <f>IF(SUM(K4:K22)=0,"",U22/SUM(K4:K22))</f>
        <v/>
      </c>
    </row>
    <row r="23" ht="18" customHeight="1">
      <c r="A23" s="14" t="n">
        <v>46223</v>
      </c>
      <c r="B23" s="15" t="inlineStr">
        <is>
          <t>月</t>
        </is>
      </c>
      <c r="C23" s="15" t="n"/>
      <c r="D23" s="16" t="n"/>
      <c r="E23" s="17" t="n"/>
      <c r="F23" s="17">
        <f>SUM(E4:E23)</f>
        <v/>
      </c>
      <c r="G23" s="17" t="n"/>
      <c r="H23" s="17">
        <f>SUM(G4:G23)</f>
        <v/>
      </c>
      <c r="I23" s="18">
        <f>IF(E23=0,"",G23/E23)</f>
        <v/>
      </c>
      <c r="J23" s="17">
        <f>ROUND(G23*0.1,0)</f>
        <v/>
      </c>
      <c r="K23" s="17">
        <f>G23+J23</f>
        <v/>
      </c>
      <c r="L23" s="17" t="n"/>
      <c r="M23" s="17">
        <f>SUM(L4:L23)</f>
        <v/>
      </c>
      <c r="N23" s="17">
        <f>IF(L23=0,"",ROUND(G23/L23,0))</f>
        <v/>
      </c>
      <c r="O23" s="17" t="n"/>
      <c r="P23" s="17">
        <f>SUM(O4:O23)</f>
        <v/>
      </c>
      <c r="Q23" s="17" t="n"/>
      <c r="R23" s="17" t="n"/>
      <c r="S23" s="17" t="n"/>
      <c r="T23" s="17">
        <f>Q23+R23+S23</f>
        <v/>
      </c>
      <c r="U23" s="17">
        <f>SUM(T4:T23)</f>
        <v/>
      </c>
      <c r="V23" s="19">
        <f>IF(SUM(K4:K23)=0,"",U23/SUM(K4:K23))</f>
        <v/>
      </c>
    </row>
    <row r="24" ht="18" customHeight="1">
      <c r="A24" s="8" t="n">
        <v>46224</v>
      </c>
      <c r="B24" s="9" t="inlineStr">
        <is>
          <t>火</t>
        </is>
      </c>
      <c r="C24" s="9" t="n"/>
      <c r="D24" s="10" t="n"/>
      <c r="E24" s="11" t="n"/>
      <c r="F24" s="11">
        <f>SUM(E4:E24)</f>
        <v/>
      </c>
      <c r="G24" s="11" t="n"/>
      <c r="H24" s="11">
        <f>SUM(G4:G24)</f>
        <v/>
      </c>
      <c r="I24" s="12">
        <f>IF(E24=0,"",G24/E24)</f>
        <v/>
      </c>
      <c r="J24" s="11">
        <f>ROUND(G24*0.1,0)</f>
        <v/>
      </c>
      <c r="K24" s="11">
        <f>G24+J24</f>
        <v/>
      </c>
      <c r="L24" s="11" t="n"/>
      <c r="M24" s="11">
        <f>SUM(L4:L24)</f>
        <v/>
      </c>
      <c r="N24" s="11">
        <f>IF(L24=0,"",ROUND(G24/L24,0))</f>
        <v/>
      </c>
      <c r="O24" s="11" t="n"/>
      <c r="P24" s="11">
        <f>SUM(O4:O24)</f>
        <v/>
      </c>
      <c r="Q24" s="11" t="n"/>
      <c r="R24" s="11" t="n"/>
      <c r="S24" s="11" t="n"/>
      <c r="T24" s="11">
        <f>Q24+R24+S24</f>
        <v/>
      </c>
      <c r="U24" s="11">
        <f>SUM(T4:T24)</f>
        <v/>
      </c>
      <c r="V24" s="13">
        <f>IF(SUM(K4:K24)=0,"",U24/SUM(K4:K24))</f>
        <v/>
      </c>
    </row>
    <row r="25" ht="18" customHeight="1">
      <c r="A25" s="14" t="n">
        <v>46225</v>
      </c>
      <c r="B25" s="15" t="inlineStr">
        <is>
          <t>水</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8" t="n">
        <v>46226</v>
      </c>
      <c r="B26" s="9" t="inlineStr">
        <is>
          <t>木</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14" t="n">
        <v>46227</v>
      </c>
      <c r="B27" s="15" t="inlineStr">
        <is>
          <t>金</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20" t="n">
        <v>46228</v>
      </c>
      <c r="B28" s="21" t="inlineStr">
        <is>
          <t>土</t>
        </is>
      </c>
      <c r="C28" s="22" t="n"/>
      <c r="D28" s="23" t="n"/>
      <c r="E28" s="24" t="n"/>
      <c r="F28" s="24">
        <f>SUM(E4:E28)</f>
        <v/>
      </c>
      <c r="G28" s="24" t="n"/>
      <c r="H28" s="24">
        <f>SUM(G4:G28)</f>
        <v/>
      </c>
      <c r="I28" s="25">
        <f>IF(E28=0,"",G28/E28)</f>
        <v/>
      </c>
      <c r="J28" s="24">
        <f>ROUND(G28*0.1,0)</f>
        <v/>
      </c>
      <c r="K28" s="24">
        <f>G28+J28</f>
        <v/>
      </c>
      <c r="L28" s="24" t="n"/>
      <c r="M28" s="24">
        <f>SUM(L4:L28)</f>
        <v/>
      </c>
      <c r="N28" s="24">
        <f>IF(L28=0,"",ROUND(G28/L28,0))</f>
        <v/>
      </c>
      <c r="O28" s="24" t="n"/>
      <c r="P28" s="24">
        <f>SUM(O4:O28)</f>
        <v/>
      </c>
      <c r="Q28" s="24" t="n"/>
      <c r="R28" s="24" t="n"/>
      <c r="S28" s="24" t="n"/>
      <c r="T28" s="24">
        <f>Q28+R28+S28</f>
        <v/>
      </c>
      <c r="U28" s="24">
        <f>SUM(T4:T28)</f>
        <v/>
      </c>
      <c r="V28" s="26">
        <f>IF(SUM(K4:K28)=0,"",U28/SUM(K4:K28))</f>
        <v/>
      </c>
    </row>
    <row r="29" ht="18" customHeight="1">
      <c r="A29" s="27" t="n">
        <v>46229</v>
      </c>
      <c r="B29" s="28" t="inlineStr">
        <is>
          <t>日</t>
        </is>
      </c>
      <c r="C29" s="29" t="n"/>
      <c r="D29" s="30" t="n"/>
      <c r="E29" s="31" t="n"/>
      <c r="F29" s="31">
        <f>SUM(E4:E29)</f>
        <v/>
      </c>
      <c r="G29" s="31" t="n"/>
      <c r="H29" s="31">
        <f>SUM(G4:G29)</f>
        <v/>
      </c>
      <c r="I29" s="32">
        <f>IF(E29=0,"",G29/E29)</f>
        <v/>
      </c>
      <c r="J29" s="31">
        <f>ROUND(G29*0.1,0)</f>
        <v/>
      </c>
      <c r="K29" s="31">
        <f>G29+J29</f>
        <v/>
      </c>
      <c r="L29" s="31" t="n"/>
      <c r="M29" s="31">
        <f>SUM(L4:L29)</f>
        <v/>
      </c>
      <c r="N29" s="31">
        <f>IF(L29=0,"",ROUND(G29/L29,0))</f>
        <v/>
      </c>
      <c r="O29" s="31" t="n"/>
      <c r="P29" s="31">
        <f>SUM(O4:O29)</f>
        <v/>
      </c>
      <c r="Q29" s="31" t="n"/>
      <c r="R29" s="31" t="n"/>
      <c r="S29" s="31" t="n"/>
      <c r="T29" s="31">
        <f>Q29+R29+S29</f>
        <v/>
      </c>
      <c r="U29" s="31">
        <f>SUM(T4:T29)</f>
        <v/>
      </c>
      <c r="V29" s="33">
        <f>IF(SUM(K4:K29)=0,"",U29/SUM(K4:K29))</f>
        <v/>
      </c>
    </row>
    <row r="30" ht="18" customHeight="1">
      <c r="A30" s="8" t="n">
        <v>46230</v>
      </c>
      <c r="B30" s="9" t="inlineStr">
        <is>
          <t>月</t>
        </is>
      </c>
      <c r="C30" s="9" t="n"/>
      <c r="D30" s="10" t="n"/>
      <c r="E30" s="11" t="n"/>
      <c r="F30" s="11">
        <f>SUM(E4:E30)</f>
        <v/>
      </c>
      <c r="G30" s="11" t="n"/>
      <c r="H30" s="11">
        <f>SUM(G4:G30)</f>
        <v/>
      </c>
      <c r="I30" s="12">
        <f>IF(E30=0,"",G30/E30)</f>
        <v/>
      </c>
      <c r="J30" s="11">
        <f>ROUND(G30*0.1,0)</f>
        <v/>
      </c>
      <c r="K30" s="11">
        <f>G30+J30</f>
        <v/>
      </c>
      <c r="L30" s="11" t="n"/>
      <c r="M30" s="11">
        <f>SUM(L4:L30)</f>
        <v/>
      </c>
      <c r="N30" s="11">
        <f>IF(L30=0,"",ROUND(G30/L30,0))</f>
        <v/>
      </c>
      <c r="O30" s="11" t="n"/>
      <c r="P30" s="11">
        <f>SUM(O4:O30)</f>
        <v/>
      </c>
      <c r="Q30" s="11" t="n"/>
      <c r="R30" s="11" t="n"/>
      <c r="S30" s="11" t="n"/>
      <c r="T30" s="11">
        <f>Q30+R30+S30</f>
        <v/>
      </c>
      <c r="U30" s="11">
        <f>SUM(T4:T30)</f>
        <v/>
      </c>
      <c r="V30" s="13">
        <f>IF(SUM(K4:K30)=0,"",U30/SUM(K4:K30))</f>
        <v/>
      </c>
    </row>
    <row r="31" ht="18" customHeight="1">
      <c r="A31" s="14" t="n">
        <v>46231</v>
      </c>
      <c r="B31" s="15" t="inlineStr">
        <is>
          <t>火</t>
        </is>
      </c>
      <c r="C31" s="15" t="n"/>
      <c r="D31" s="16" t="n"/>
      <c r="E31" s="17" t="n"/>
      <c r="F31" s="17">
        <f>SUM(E4:E31)</f>
        <v/>
      </c>
      <c r="G31" s="17" t="n"/>
      <c r="H31" s="17">
        <f>SUM(G4:G31)</f>
        <v/>
      </c>
      <c r="I31" s="18">
        <f>IF(E31=0,"",G31/E31)</f>
        <v/>
      </c>
      <c r="J31" s="17">
        <f>ROUND(G31*0.1,0)</f>
        <v/>
      </c>
      <c r="K31" s="17">
        <f>G31+J31</f>
        <v/>
      </c>
      <c r="L31" s="17" t="n"/>
      <c r="M31" s="17">
        <f>SUM(L4:L31)</f>
        <v/>
      </c>
      <c r="N31" s="17">
        <f>IF(L31=0,"",ROUND(G31/L31,0))</f>
        <v/>
      </c>
      <c r="O31" s="17" t="n"/>
      <c r="P31" s="17">
        <f>SUM(O4:O31)</f>
        <v/>
      </c>
      <c r="Q31" s="17" t="n"/>
      <c r="R31" s="17" t="n"/>
      <c r="S31" s="17" t="n"/>
      <c r="T31" s="17">
        <f>Q31+R31+S31</f>
        <v/>
      </c>
      <c r="U31" s="17">
        <f>SUM(T4:T31)</f>
        <v/>
      </c>
      <c r="V31" s="19">
        <f>IF(SUM(K4:K31)=0,"",U31/SUM(K4:K31))</f>
        <v/>
      </c>
    </row>
    <row r="32" ht="18" customHeight="1">
      <c r="A32" s="8" t="n">
        <v>46232</v>
      </c>
      <c r="B32" s="9" t="inlineStr">
        <is>
          <t>水</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14" t="n">
        <v>46233</v>
      </c>
      <c r="B33" s="15" t="inlineStr">
        <is>
          <t>木</t>
        </is>
      </c>
      <c r="C33" s="15" t="n"/>
      <c r="D33" s="16" t="n"/>
      <c r="E33" s="17" t="n"/>
      <c r="F33" s="17">
        <f>SUM(E4:E33)</f>
        <v/>
      </c>
      <c r="G33" s="17" t="n"/>
      <c r="H33" s="17">
        <f>SUM(G4:G33)</f>
        <v/>
      </c>
      <c r="I33" s="18">
        <f>IF(E33=0,"",G33/E33)</f>
        <v/>
      </c>
      <c r="J33" s="17">
        <f>ROUND(G33*0.1,0)</f>
        <v/>
      </c>
      <c r="K33" s="17">
        <f>G33+J33</f>
        <v/>
      </c>
      <c r="L33" s="17" t="n"/>
      <c r="M33" s="17">
        <f>SUM(L4:L33)</f>
        <v/>
      </c>
      <c r="N33" s="17">
        <f>IF(L33=0,"",ROUND(G33/L33,0))</f>
        <v/>
      </c>
      <c r="O33" s="17" t="n"/>
      <c r="P33" s="17">
        <f>SUM(O4:O33)</f>
        <v/>
      </c>
      <c r="Q33" s="17" t="n"/>
      <c r="R33" s="17" t="n"/>
      <c r="S33" s="17" t="n"/>
      <c r="T33" s="17">
        <f>Q33+R33+S33</f>
        <v/>
      </c>
      <c r="U33" s="17">
        <f>SUM(T4:T33)</f>
        <v/>
      </c>
      <c r="V33" s="19">
        <f>IF(SUM(K4:K33)=0,"",U33/SUM(K4:K33))</f>
        <v/>
      </c>
    </row>
    <row r="34" ht="18" customHeight="1">
      <c r="A34" s="8" t="n">
        <v>46234</v>
      </c>
      <c r="B34" s="9" t="inlineStr">
        <is>
          <t>金</t>
        </is>
      </c>
      <c r="C34" s="9" t="n"/>
      <c r="D34" s="10" t="n"/>
      <c r="E34" s="11" t="n"/>
      <c r="F34" s="11">
        <f>SUM(E4:E34)</f>
        <v/>
      </c>
      <c r="G34" s="11" t="n"/>
      <c r="H34" s="11">
        <f>SUM(G4:G34)</f>
        <v/>
      </c>
      <c r="I34" s="12">
        <f>IF(E34=0,"",G34/E34)</f>
        <v/>
      </c>
      <c r="J34" s="11">
        <f>ROUND(G34*0.1,0)</f>
        <v/>
      </c>
      <c r="K34" s="11">
        <f>G34+J34</f>
        <v/>
      </c>
      <c r="L34" s="11" t="n"/>
      <c r="M34" s="11">
        <f>SUM(L4:L34)</f>
        <v/>
      </c>
      <c r="N34" s="11">
        <f>IF(L34=0,"",ROUND(G34/L34,0))</f>
        <v/>
      </c>
      <c r="O34" s="11" t="n"/>
      <c r="P34" s="11">
        <f>SUM(O4:O34)</f>
        <v/>
      </c>
      <c r="Q34" s="11" t="n"/>
      <c r="R34" s="11" t="n"/>
      <c r="S34" s="11" t="n"/>
      <c r="T34" s="11">
        <f>Q34+R34+S34</f>
        <v/>
      </c>
      <c r="U34" s="11">
        <f>SUM(T4:T34)</f>
        <v/>
      </c>
      <c r="V34" s="13">
        <f>IF(SUM(K4:K34)=0,"",U34/SUM(K4:K34))</f>
        <v/>
      </c>
    </row>
    <row r="35" ht="22" customHeight="1">
      <c r="A35" s="34" t="inlineStr">
        <is>
          <t>月　合　計</t>
        </is>
      </c>
      <c r="E35" s="35">
        <f>SUM(E4:E34)</f>
        <v/>
      </c>
      <c r="F35" s="35">
        <f>F34</f>
        <v/>
      </c>
      <c r="G35" s="35">
        <f>SUM(G4:G34)</f>
        <v/>
      </c>
      <c r="H35" s="35">
        <f>H34</f>
        <v/>
      </c>
      <c r="I35" s="36">
        <f>IF(E35=0,"",G35/E35)</f>
        <v/>
      </c>
      <c r="J35" s="35">
        <f>ROUND(G35*0.1,0)</f>
        <v/>
      </c>
      <c r="K35" s="35">
        <f>G35+J35</f>
        <v/>
      </c>
      <c r="L35" s="35">
        <f>SUM(L4:L34)</f>
        <v/>
      </c>
      <c r="M35" s="35">
        <f>M34</f>
        <v/>
      </c>
      <c r="N35" s="35">
        <f>IF(L35=0,"",ROUND(G35/L35,0))</f>
        <v/>
      </c>
      <c r="O35" s="35">
        <f>SUM(O4:O34)</f>
        <v/>
      </c>
      <c r="P35" s="35">
        <f>P34</f>
        <v/>
      </c>
      <c r="Q35" s="35">
        <f>SUM(Q4:Q34)</f>
        <v/>
      </c>
      <c r="R35" s="35">
        <f>SUM(R4:R34)</f>
        <v/>
      </c>
      <c r="S35" s="35">
        <f>SUM(S4:S34)</f>
        <v/>
      </c>
      <c r="T35" s="35">
        <f>SUM(T4:T34)</f>
        <v/>
      </c>
      <c r="U35" s="35">
        <f>U34</f>
        <v/>
      </c>
      <c r="V35" s="37">
        <f>IF(K35=0,"",T35/K35)</f>
        <v/>
      </c>
    </row>
    <row r="37">
      <c r="A37" s="38" t="inlineStr">
        <is>
          <t>【凡例】</t>
        </is>
      </c>
    </row>
    <row r="38">
      <c r="A38" s="39" t="inlineStr">
        <is>
          <t>■ 青背景：土曜日</t>
        </is>
      </c>
    </row>
    <row r="39">
      <c r="A39" s="40" t="inlineStr">
        <is>
          <t>■ 赤背景：日曜日</t>
        </is>
      </c>
    </row>
    <row r="40">
      <c r="A40" s="41" t="inlineStr">
        <is>
          <t>■ 緑ヘッダー：従業員入力欄</t>
        </is>
      </c>
    </row>
    <row r="41">
      <c r="A41" s="42" t="inlineStr">
        <is>
          <t>■ グレーヘッダー：自動計算欄（入力不要）</t>
        </is>
      </c>
    </row>
  </sheetData>
  <mergeCells count="7">
    <mergeCell ref="E2:J2"/>
    <mergeCell ref="Q2:U2"/>
    <mergeCell ref="A35:D35"/>
    <mergeCell ref="A1:V1"/>
    <mergeCell ref="L2:O2"/>
    <mergeCell ref="B2:B3"/>
    <mergeCell ref="A2:A3"/>
  </mergeCells>
  <dataValidations count="3">
    <dataValidation sqref="C4 C5 C6 C7 C8 C9 C10 C11 C12 C13 C14 C15 C16 C17 C18 C19 C20 C21 C22 C23 C24 C25 C26 C27 C28 C29 C30 C31 C32 C33 C34"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D34"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E34 G4 G5 G6 G7 G8 G9 G10 G11 G12 G13 G14 G15 G16 G17 G18 G19 G20 G21 G22 G23 G24 G25 G26 G27 G28 G29 G30 G31 G32 G33 G34 L4 L5 L6 L7 L8 L9 L10 L11 L12 L13 L14 L15 L16 L17 L18 L19 L20 L21 L22 L23 L24 L25 L26 L27 L28 L29 L30 L31 L32 L33 L34 O4 O5 O6 O7 O8 O9 O10 O11 O12 O13 O14 O15 O16 O17 O18 O19 O20 O21 O22 O23 O24 O25 O26 O27 O28 O29 O30 O31 O32 O33 O34 Q4 Q5 Q6 Q7 Q8 Q9 Q10 Q11 Q12 Q13 Q14 Q15 Q16 Q17 Q18 Q19 Q20 Q21 Q22 Q23 Q24 Q25 Q26 Q27 Q28 Q29 Q30 Q31 Q32 Q33 Q34 R4 R5 R6 R7 R8 R9 R10 R11 R12 R13 R14 R15 R16 R17 R18 R19 R20 R21 R22 R23 R24 R25 R26 R27 R28 R29 R30 R31 R32 R33 R34 S4 S5 S6 S7 S8 S9 S10 S11 S12 S13 S14 S15 S16 S17 S18 S19 S20 S21 S22 S23 S24 S25 S26 S27 S28 S29 S30 S31 S32 S33 S34"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sheetPr>
  <dimension ref="A1:X4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8月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20" t="n">
        <v>46235</v>
      </c>
      <c r="B4" s="21" t="inlineStr">
        <is>
          <t>土</t>
        </is>
      </c>
      <c r="C4" s="22" t="n"/>
      <c r="D4" s="23" t="n"/>
      <c r="E4" s="24" t="n"/>
      <c r="F4" s="24">
        <f>SUM(E4:E4)</f>
        <v/>
      </c>
      <c r="G4" s="24" t="n"/>
      <c r="H4" s="24">
        <f>SUM(G4:G4)</f>
        <v/>
      </c>
      <c r="I4" s="25">
        <f>IF(E4=0,"",G4/E4)</f>
        <v/>
      </c>
      <c r="J4" s="24">
        <f>ROUND(G4*0.1,0)</f>
        <v/>
      </c>
      <c r="K4" s="24">
        <f>G4+J4</f>
        <v/>
      </c>
      <c r="L4" s="24" t="n"/>
      <c r="M4" s="24">
        <f>SUM(L4:L4)</f>
        <v/>
      </c>
      <c r="N4" s="24">
        <f>IF(L4=0,"",ROUND(G4/L4,0))</f>
        <v/>
      </c>
      <c r="O4" s="24" t="n"/>
      <c r="P4" s="24">
        <f>SUM(O4:O4)</f>
        <v/>
      </c>
      <c r="Q4" s="24" t="n"/>
      <c r="R4" s="24" t="n"/>
      <c r="S4" s="24" t="n"/>
      <c r="T4" s="24">
        <f>Q4+R4+S4</f>
        <v/>
      </c>
      <c r="U4" s="24">
        <f>SUM(T4:T4)</f>
        <v/>
      </c>
      <c r="V4" s="26">
        <f>IF(SUM(K4:K4)=0,"",U4/SUM(K4:K4))</f>
        <v/>
      </c>
    </row>
    <row r="5" ht="18" customHeight="1">
      <c r="A5" s="27" t="n">
        <v>46236</v>
      </c>
      <c r="B5" s="28" t="inlineStr">
        <is>
          <t>日</t>
        </is>
      </c>
      <c r="C5" s="29" t="n"/>
      <c r="D5" s="30" t="n"/>
      <c r="E5" s="31" t="n"/>
      <c r="F5" s="31">
        <f>SUM(E4:E5)</f>
        <v/>
      </c>
      <c r="G5" s="31" t="n"/>
      <c r="H5" s="31">
        <f>SUM(G4:G5)</f>
        <v/>
      </c>
      <c r="I5" s="32">
        <f>IF(E5=0,"",G5/E5)</f>
        <v/>
      </c>
      <c r="J5" s="31">
        <f>ROUND(G5*0.1,0)</f>
        <v/>
      </c>
      <c r="K5" s="31">
        <f>G5+J5</f>
        <v/>
      </c>
      <c r="L5" s="31" t="n"/>
      <c r="M5" s="31">
        <f>SUM(L4:L5)</f>
        <v/>
      </c>
      <c r="N5" s="31">
        <f>IF(L5=0,"",ROUND(G5/L5,0))</f>
        <v/>
      </c>
      <c r="O5" s="31" t="n"/>
      <c r="P5" s="31">
        <f>SUM(O4:O5)</f>
        <v/>
      </c>
      <c r="Q5" s="31" t="n"/>
      <c r="R5" s="31" t="n"/>
      <c r="S5" s="31" t="n"/>
      <c r="T5" s="31">
        <f>Q5+R5+S5</f>
        <v/>
      </c>
      <c r="U5" s="31">
        <f>SUM(T4:T5)</f>
        <v/>
      </c>
      <c r="V5" s="33">
        <f>IF(SUM(K4:K5)=0,"",U5/SUM(K4:K5))</f>
        <v/>
      </c>
    </row>
    <row r="6" ht="18" customHeight="1">
      <c r="A6" s="8" t="n">
        <v>46237</v>
      </c>
      <c r="B6" s="9" t="inlineStr">
        <is>
          <t>月</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14" t="n">
        <v>46238</v>
      </c>
      <c r="B7" s="15" t="inlineStr">
        <is>
          <t>火</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8" t="n">
        <v>46239</v>
      </c>
      <c r="B8" s="9" t="inlineStr">
        <is>
          <t>水</t>
        </is>
      </c>
      <c r="C8" s="9" t="n"/>
      <c r="D8" s="10" t="n"/>
      <c r="E8" s="11" t="n"/>
      <c r="F8" s="11">
        <f>SUM(E4:E8)</f>
        <v/>
      </c>
      <c r="G8" s="11" t="n"/>
      <c r="H8" s="11">
        <f>SUM(G4:G8)</f>
        <v/>
      </c>
      <c r="I8" s="12">
        <f>IF(E8=0,"",G8/E8)</f>
        <v/>
      </c>
      <c r="J8" s="11">
        <f>ROUND(G8*0.1,0)</f>
        <v/>
      </c>
      <c r="K8" s="11">
        <f>G8+J8</f>
        <v/>
      </c>
      <c r="L8" s="11" t="n"/>
      <c r="M8" s="11">
        <f>SUM(L4:L8)</f>
        <v/>
      </c>
      <c r="N8" s="11">
        <f>IF(L8=0,"",ROUND(G8/L8,0))</f>
        <v/>
      </c>
      <c r="O8" s="11" t="n"/>
      <c r="P8" s="11">
        <f>SUM(O4:O8)</f>
        <v/>
      </c>
      <c r="Q8" s="11" t="n"/>
      <c r="R8" s="11" t="n"/>
      <c r="S8" s="11" t="n"/>
      <c r="T8" s="11">
        <f>Q8+R8+S8</f>
        <v/>
      </c>
      <c r="U8" s="11">
        <f>SUM(T4:T8)</f>
        <v/>
      </c>
      <c r="V8" s="13">
        <f>IF(SUM(K4:K8)=0,"",U8/SUM(K4:K8))</f>
        <v/>
      </c>
    </row>
    <row r="9" ht="18" customHeight="1">
      <c r="A9" s="14" t="n">
        <v>46240</v>
      </c>
      <c r="B9" s="15" t="inlineStr">
        <is>
          <t>木</t>
        </is>
      </c>
      <c r="C9" s="15" t="n"/>
      <c r="D9" s="16" t="n"/>
      <c r="E9" s="17" t="n"/>
      <c r="F9" s="17">
        <f>SUM(E4:E9)</f>
        <v/>
      </c>
      <c r="G9" s="17" t="n"/>
      <c r="H9" s="17">
        <f>SUM(G4:G9)</f>
        <v/>
      </c>
      <c r="I9" s="18">
        <f>IF(E9=0,"",G9/E9)</f>
        <v/>
      </c>
      <c r="J9" s="17">
        <f>ROUND(G9*0.1,0)</f>
        <v/>
      </c>
      <c r="K9" s="17">
        <f>G9+J9</f>
        <v/>
      </c>
      <c r="L9" s="17" t="n"/>
      <c r="M9" s="17">
        <f>SUM(L4:L9)</f>
        <v/>
      </c>
      <c r="N9" s="17">
        <f>IF(L9=0,"",ROUND(G9/L9,0))</f>
        <v/>
      </c>
      <c r="O9" s="17" t="n"/>
      <c r="P9" s="17">
        <f>SUM(O4:O9)</f>
        <v/>
      </c>
      <c r="Q9" s="17" t="n"/>
      <c r="R9" s="17" t="n"/>
      <c r="S9" s="17" t="n"/>
      <c r="T9" s="17">
        <f>Q9+R9+S9</f>
        <v/>
      </c>
      <c r="U9" s="17">
        <f>SUM(T4:T9)</f>
        <v/>
      </c>
      <c r="V9" s="19">
        <f>IF(SUM(K4:K9)=0,"",U9/SUM(K4:K9))</f>
        <v/>
      </c>
    </row>
    <row r="10" ht="18" customHeight="1">
      <c r="A10" s="8" t="n">
        <v>46241</v>
      </c>
      <c r="B10" s="9" t="inlineStr">
        <is>
          <t>金</t>
        </is>
      </c>
      <c r="C10" s="9" t="n"/>
      <c r="D10" s="10" t="n"/>
      <c r="E10" s="11" t="n"/>
      <c r="F10" s="11">
        <f>SUM(E4:E10)</f>
        <v/>
      </c>
      <c r="G10" s="11" t="n"/>
      <c r="H10" s="11">
        <f>SUM(G4:G10)</f>
        <v/>
      </c>
      <c r="I10" s="12">
        <f>IF(E10=0,"",G10/E10)</f>
        <v/>
      </c>
      <c r="J10" s="11">
        <f>ROUND(G10*0.1,0)</f>
        <v/>
      </c>
      <c r="K10" s="11">
        <f>G10+J10</f>
        <v/>
      </c>
      <c r="L10" s="11" t="n"/>
      <c r="M10" s="11">
        <f>SUM(L4:L10)</f>
        <v/>
      </c>
      <c r="N10" s="11">
        <f>IF(L10=0,"",ROUND(G10/L10,0))</f>
        <v/>
      </c>
      <c r="O10" s="11" t="n"/>
      <c r="P10" s="11">
        <f>SUM(O4:O10)</f>
        <v/>
      </c>
      <c r="Q10" s="11" t="n"/>
      <c r="R10" s="11" t="n"/>
      <c r="S10" s="11" t="n"/>
      <c r="T10" s="11">
        <f>Q10+R10+S10</f>
        <v/>
      </c>
      <c r="U10" s="11">
        <f>SUM(T4:T10)</f>
        <v/>
      </c>
      <c r="V10" s="13">
        <f>IF(SUM(K4:K10)=0,"",U10/SUM(K4:K10))</f>
        <v/>
      </c>
    </row>
    <row r="11" ht="18" customHeight="1">
      <c r="A11" s="20" t="n">
        <v>46242</v>
      </c>
      <c r="B11" s="21" t="inlineStr">
        <is>
          <t>土</t>
        </is>
      </c>
      <c r="C11" s="22" t="n"/>
      <c r="D11" s="23" t="n"/>
      <c r="E11" s="24" t="n"/>
      <c r="F11" s="24">
        <f>SUM(E4:E11)</f>
        <v/>
      </c>
      <c r="G11" s="24" t="n"/>
      <c r="H11" s="24">
        <f>SUM(G4:G11)</f>
        <v/>
      </c>
      <c r="I11" s="25">
        <f>IF(E11=0,"",G11/E11)</f>
        <v/>
      </c>
      <c r="J11" s="24">
        <f>ROUND(G11*0.1,0)</f>
        <v/>
      </c>
      <c r="K11" s="24">
        <f>G11+J11</f>
        <v/>
      </c>
      <c r="L11" s="24" t="n"/>
      <c r="M11" s="24">
        <f>SUM(L4:L11)</f>
        <v/>
      </c>
      <c r="N11" s="24">
        <f>IF(L11=0,"",ROUND(G11/L11,0))</f>
        <v/>
      </c>
      <c r="O11" s="24" t="n"/>
      <c r="P11" s="24">
        <f>SUM(O4:O11)</f>
        <v/>
      </c>
      <c r="Q11" s="24" t="n"/>
      <c r="R11" s="24" t="n"/>
      <c r="S11" s="24" t="n"/>
      <c r="T11" s="24">
        <f>Q11+R11+S11</f>
        <v/>
      </c>
      <c r="U11" s="24">
        <f>SUM(T4:T11)</f>
        <v/>
      </c>
      <c r="V11" s="26">
        <f>IF(SUM(K4:K11)=0,"",U11/SUM(K4:K11))</f>
        <v/>
      </c>
    </row>
    <row r="12" ht="18" customHeight="1">
      <c r="A12" s="27" t="n">
        <v>46243</v>
      </c>
      <c r="B12" s="28" t="inlineStr">
        <is>
          <t>日</t>
        </is>
      </c>
      <c r="C12" s="29" t="n"/>
      <c r="D12" s="30" t="n"/>
      <c r="E12" s="31" t="n"/>
      <c r="F12" s="31">
        <f>SUM(E4:E12)</f>
        <v/>
      </c>
      <c r="G12" s="31" t="n"/>
      <c r="H12" s="31">
        <f>SUM(G4:G12)</f>
        <v/>
      </c>
      <c r="I12" s="32">
        <f>IF(E12=0,"",G12/E12)</f>
        <v/>
      </c>
      <c r="J12" s="31">
        <f>ROUND(G12*0.1,0)</f>
        <v/>
      </c>
      <c r="K12" s="31">
        <f>G12+J12</f>
        <v/>
      </c>
      <c r="L12" s="31" t="n"/>
      <c r="M12" s="31">
        <f>SUM(L4:L12)</f>
        <v/>
      </c>
      <c r="N12" s="31">
        <f>IF(L12=0,"",ROUND(G12/L12,0))</f>
        <v/>
      </c>
      <c r="O12" s="31" t="n"/>
      <c r="P12" s="31">
        <f>SUM(O4:O12)</f>
        <v/>
      </c>
      <c r="Q12" s="31" t="n"/>
      <c r="R12" s="31" t="n"/>
      <c r="S12" s="31" t="n"/>
      <c r="T12" s="31">
        <f>Q12+R12+S12</f>
        <v/>
      </c>
      <c r="U12" s="31">
        <f>SUM(T4:T12)</f>
        <v/>
      </c>
      <c r="V12" s="33">
        <f>IF(SUM(K4:K12)=0,"",U12/SUM(K4:K12))</f>
        <v/>
      </c>
    </row>
    <row r="13" ht="18" customHeight="1">
      <c r="A13" s="14" t="n">
        <v>46244</v>
      </c>
      <c r="B13" s="15" t="inlineStr">
        <is>
          <t>月</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8" t="n">
        <v>46245</v>
      </c>
      <c r="B14" s="9" t="inlineStr">
        <is>
          <t>火</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14" t="n">
        <v>46246</v>
      </c>
      <c r="B15" s="15" t="inlineStr">
        <is>
          <t>水</t>
        </is>
      </c>
      <c r="C15" s="15" t="n"/>
      <c r="D15" s="16" t="n"/>
      <c r="E15" s="17" t="n"/>
      <c r="F15" s="17">
        <f>SUM(E4:E15)</f>
        <v/>
      </c>
      <c r="G15" s="17" t="n"/>
      <c r="H15" s="17">
        <f>SUM(G4:G15)</f>
        <v/>
      </c>
      <c r="I15" s="18">
        <f>IF(E15=0,"",G15/E15)</f>
        <v/>
      </c>
      <c r="J15" s="17">
        <f>ROUND(G15*0.1,0)</f>
        <v/>
      </c>
      <c r="K15" s="17">
        <f>G15+J15</f>
        <v/>
      </c>
      <c r="L15" s="17" t="n"/>
      <c r="M15" s="17">
        <f>SUM(L4:L15)</f>
        <v/>
      </c>
      <c r="N15" s="17">
        <f>IF(L15=0,"",ROUND(G15/L15,0))</f>
        <v/>
      </c>
      <c r="O15" s="17" t="n"/>
      <c r="P15" s="17">
        <f>SUM(O4:O15)</f>
        <v/>
      </c>
      <c r="Q15" s="17" t="n"/>
      <c r="R15" s="17" t="n"/>
      <c r="S15" s="17" t="n"/>
      <c r="T15" s="17">
        <f>Q15+R15+S15</f>
        <v/>
      </c>
      <c r="U15" s="17">
        <f>SUM(T4:T15)</f>
        <v/>
      </c>
      <c r="V15" s="19">
        <f>IF(SUM(K4:K15)=0,"",U15/SUM(K4:K15))</f>
        <v/>
      </c>
    </row>
    <row r="16" ht="18" customHeight="1">
      <c r="A16" s="8" t="n">
        <v>46247</v>
      </c>
      <c r="B16" s="9" t="inlineStr">
        <is>
          <t>木</t>
        </is>
      </c>
      <c r="C16" s="9" t="n"/>
      <c r="D16" s="10" t="n"/>
      <c r="E16" s="11" t="n"/>
      <c r="F16" s="11">
        <f>SUM(E4:E16)</f>
        <v/>
      </c>
      <c r="G16" s="11" t="n"/>
      <c r="H16" s="11">
        <f>SUM(G4:G16)</f>
        <v/>
      </c>
      <c r="I16" s="12">
        <f>IF(E16=0,"",G16/E16)</f>
        <v/>
      </c>
      <c r="J16" s="11">
        <f>ROUND(G16*0.1,0)</f>
        <v/>
      </c>
      <c r="K16" s="11">
        <f>G16+J16</f>
        <v/>
      </c>
      <c r="L16" s="11" t="n"/>
      <c r="M16" s="11">
        <f>SUM(L4:L16)</f>
        <v/>
      </c>
      <c r="N16" s="11">
        <f>IF(L16=0,"",ROUND(G16/L16,0))</f>
        <v/>
      </c>
      <c r="O16" s="11" t="n"/>
      <c r="P16" s="11">
        <f>SUM(O4:O16)</f>
        <v/>
      </c>
      <c r="Q16" s="11" t="n"/>
      <c r="R16" s="11" t="n"/>
      <c r="S16" s="11" t="n"/>
      <c r="T16" s="11">
        <f>Q16+R16+S16</f>
        <v/>
      </c>
      <c r="U16" s="11">
        <f>SUM(T4:T16)</f>
        <v/>
      </c>
      <c r="V16" s="13">
        <f>IF(SUM(K4:K16)=0,"",U16/SUM(K4:K16))</f>
        <v/>
      </c>
    </row>
    <row r="17" ht="18" customHeight="1">
      <c r="A17" s="14" t="n">
        <v>46248</v>
      </c>
      <c r="B17" s="15" t="inlineStr">
        <is>
          <t>金</t>
        </is>
      </c>
      <c r="C17" s="15" t="n"/>
      <c r="D17" s="16" t="n"/>
      <c r="E17" s="17" t="n"/>
      <c r="F17" s="17">
        <f>SUM(E4:E17)</f>
        <v/>
      </c>
      <c r="G17" s="17" t="n"/>
      <c r="H17" s="17">
        <f>SUM(G4:G17)</f>
        <v/>
      </c>
      <c r="I17" s="18">
        <f>IF(E17=0,"",G17/E17)</f>
        <v/>
      </c>
      <c r="J17" s="17">
        <f>ROUND(G17*0.1,0)</f>
        <v/>
      </c>
      <c r="K17" s="17">
        <f>G17+J17</f>
        <v/>
      </c>
      <c r="L17" s="17" t="n"/>
      <c r="M17" s="17">
        <f>SUM(L4:L17)</f>
        <v/>
      </c>
      <c r="N17" s="17">
        <f>IF(L17=0,"",ROUND(G17/L17,0))</f>
        <v/>
      </c>
      <c r="O17" s="17" t="n"/>
      <c r="P17" s="17">
        <f>SUM(O4:O17)</f>
        <v/>
      </c>
      <c r="Q17" s="17" t="n"/>
      <c r="R17" s="17" t="n"/>
      <c r="S17" s="17" t="n"/>
      <c r="T17" s="17">
        <f>Q17+R17+S17</f>
        <v/>
      </c>
      <c r="U17" s="17">
        <f>SUM(T4:T17)</f>
        <v/>
      </c>
      <c r="V17" s="19">
        <f>IF(SUM(K4:K17)=0,"",U17/SUM(K4:K17))</f>
        <v/>
      </c>
    </row>
    <row r="18" ht="18" customHeight="1">
      <c r="A18" s="20" t="n">
        <v>46249</v>
      </c>
      <c r="B18" s="21" t="inlineStr">
        <is>
          <t>土</t>
        </is>
      </c>
      <c r="C18" s="22" t="n"/>
      <c r="D18" s="23" t="n"/>
      <c r="E18" s="24" t="n"/>
      <c r="F18" s="24">
        <f>SUM(E4:E18)</f>
        <v/>
      </c>
      <c r="G18" s="24" t="n"/>
      <c r="H18" s="24">
        <f>SUM(G4:G18)</f>
        <v/>
      </c>
      <c r="I18" s="25">
        <f>IF(E18=0,"",G18/E18)</f>
        <v/>
      </c>
      <c r="J18" s="24">
        <f>ROUND(G18*0.1,0)</f>
        <v/>
      </c>
      <c r="K18" s="24">
        <f>G18+J18</f>
        <v/>
      </c>
      <c r="L18" s="24" t="n"/>
      <c r="M18" s="24">
        <f>SUM(L4:L18)</f>
        <v/>
      </c>
      <c r="N18" s="24">
        <f>IF(L18=0,"",ROUND(G18/L18,0))</f>
        <v/>
      </c>
      <c r="O18" s="24" t="n"/>
      <c r="P18" s="24">
        <f>SUM(O4:O18)</f>
        <v/>
      </c>
      <c r="Q18" s="24" t="n"/>
      <c r="R18" s="24" t="n"/>
      <c r="S18" s="24" t="n"/>
      <c r="T18" s="24">
        <f>Q18+R18+S18</f>
        <v/>
      </c>
      <c r="U18" s="24">
        <f>SUM(T4:T18)</f>
        <v/>
      </c>
      <c r="V18" s="26">
        <f>IF(SUM(K4:K18)=0,"",U18/SUM(K4:K18))</f>
        <v/>
      </c>
    </row>
    <row r="19" ht="18" customHeight="1">
      <c r="A19" s="27" t="n">
        <v>46250</v>
      </c>
      <c r="B19" s="28" t="inlineStr">
        <is>
          <t>日</t>
        </is>
      </c>
      <c r="C19" s="29" t="n"/>
      <c r="D19" s="30" t="n"/>
      <c r="E19" s="31" t="n"/>
      <c r="F19" s="31">
        <f>SUM(E4:E19)</f>
        <v/>
      </c>
      <c r="G19" s="31" t="n"/>
      <c r="H19" s="31">
        <f>SUM(G4:G19)</f>
        <v/>
      </c>
      <c r="I19" s="32">
        <f>IF(E19=0,"",G19/E19)</f>
        <v/>
      </c>
      <c r="J19" s="31">
        <f>ROUND(G19*0.1,0)</f>
        <v/>
      </c>
      <c r="K19" s="31">
        <f>G19+J19</f>
        <v/>
      </c>
      <c r="L19" s="31" t="n"/>
      <c r="M19" s="31">
        <f>SUM(L4:L19)</f>
        <v/>
      </c>
      <c r="N19" s="31">
        <f>IF(L19=0,"",ROUND(G19/L19,0))</f>
        <v/>
      </c>
      <c r="O19" s="31" t="n"/>
      <c r="P19" s="31">
        <f>SUM(O4:O19)</f>
        <v/>
      </c>
      <c r="Q19" s="31" t="n"/>
      <c r="R19" s="31" t="n"/>
      <c r="S19" s="31" t="n"/>
      <c r="T19" s="31">
        <f>Q19+R19+S19</f>
        <v/>
      </c>
      <c r="U19" s="31">
        <f>SUM(T4:T19)</f>
        <v/>
      </c>
      <c r="V19" s="33">
        <f>IF(SUM(K4:K19)=0,"",U19/SUM(K4:K19))</f>
        <v/>
      </c>
    </row>
    <row r="20" ht="18" customHeight="1">
      <c r="A20" s="8" t="n">
        <v>46251</v>
      </c>
      <c r="B20" s="9" t="inlineStr">
        <is>
          <t>月</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14" t="n">
        <v>46252</v>
      </c>
      <c r="B21" s="15" t="inlineStr">
        <is>
          <t>火</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8" t="n">
        <v>46253</v>
      </c>
      <c r="B22" s="9" t="inlineStr">
        <is>
          <t>水</t>
        </is>
      </c>
      <c r="C22" s="9" t="n"/>
      <c r="D22" s="10" t="n"/>
      <c r="E22" s="11" t="n"/>
      <c r="F22" s="11">
        <f>SUM(E4:E22)</f>
        <v/>
      </c>
      <c r="G22" s="11" t="n"/>
      <c r="H22" s="11">
        <f>SUM(G4:G22)</f>
        <v/>
      </c>
      <c r="I22" s="12">
        <f>IF(E22=0,"",G22/E22)</f>
        <v/>
      </c>
      <c r="J22" s="11">
        <f>ROUND(G22*0.1,0)</f>
        <v/>
      </c>
      <c r="K22" s="11">
        <f>G22+J22</f>
        <v/>
      </c>
      <c r="L22" s="11" t="n"/>
      <c r="M22" s="11">
        <f>SUM(L4:L22)</f>
        <v/>
      </c>
      <c r="N22" s="11">
        <f>IF(L22=0,"",ROUND(G22/L22,0))</f>
        <v/>
      </c>
      <c r="O22" s="11" t="n"/>
      <c r="P22" s="11">
        <f>SUM(O4:O22)</f>
        <v/>
      </c>
      <c r="Q22" s="11" t="n"/>
      <c r="R22" s="11" t="n"/>
      <c r="S22" s="11" t="n"/>
      <c r="T22" s="11">
        <f>Q22+R22+S22</f>
        <v/>
      </c>
      <c r="U22" s="11">
        <f>SUM(T4:T22)</f>
        <v/>
      </c>
      <c r="V22" s="13">
        <f>IF(SUM(K4:K22)=0,"",U22/SUM(K4:K22))</f>
        <v/>
      </c>
    </row>
    <row r="23" ht="18" customHeight="1">
      <c r="A23" s="14" t="n">
        <v>46254</v>
      </c>
      <c r="B23" s="15" t="inlineStr">
        <is>
          <t>木</t>
        </is>
      </c>
      <c r="C23" s="15" t="n"/>
      <c r="D23" s="16" t="n"/>
      <c r="E23" s="17" t="n"/>
      <c r="F23" s="17">
        <f>SUM(E4:E23)</f>
        <v/>
      </c>
      <c r="G23" s="17" t="n"/>
      <c r="H23" s="17">
        <f>SUM(G4:G23)</f>
        <v/>
      </c>
      <c r="I23" s="18">
        <f>IF(E23=0,"",G23/E23)</f>
        <v/>
      </c>
      <c r="J23" s="17">
        <f>ROUND(G23*0.1,0)</f>
        <v/>
      </c>
      <c r="K23" s="17">
        <f>G23+J23</f>
        <v/>
      </c>
      <c r="L23" s="17" t="n"/>
      <c r="M23" s="17">
        <f>SUM(L4:L23)</f>
        <v/>
      </c>
      <c r="N23" s="17">
        <f>IF(L23=0,"",ROUND(G23/L23,0))</f>
        <v/>
      </c>
      <c r="O23" s="17" t="n"/>
      <c r="P23" s="17">
        <f>SUM(O4:O23)</f>
        <v/>
      </c>
      <c r="Q23" s="17" t="n"/>
      <c r="R23" s="17" t="n"/>
      <c r="S23" s="17" t="n"/>
      <c r="T23" s="17">
        <f>Q23+R23+S23</f>
        <v/>
      </c>
      <c r="U23" s="17">
        <f>SUM(T4:T23)</f>
        <v/>
      </c>
      <c r="V23" s="19">
        <f>IF(SUM(K4:K23)=0,"",U23/SUM(K4:K23))</f>
        <v/>
      </c>
    </row>
    <row r="24" ht="18" customHeight="1">
      <c r="A24" s="8" t="n">
        <v>46255</v>
      </c>
      <c r="B24" s="9" t="inlineStr">
        <is>
          <t>金</t>
        </is>
      </c>
      <c r="C24" s="9" t="n"/>
      <c r="D24" s="10" t="n"/>
      <c r="E24" s="11" t="n"/>
      <c r="F24" s="11">
        <f>SUM(E4:E24)</f>
        <v/>
      </c>
      <c r="G24" s="11" t="n"/>
      <c r="H24" s="11">
        <f>SUM(G4:G24)</f>
        <v/>
      </c>
      <c r="I24" s="12">
        <f>IF(E24=0,"",G24/E24)</f>
        <v/>
      </c>
      <c r="J24" s="11">
        <f>ROUND(G24*0.1,0)</f>
        <v/>
      </c>
      <c r="K24" s="11">
        <f>G24+J24</f>
        <v/>
      </c>
      <c r="L24" s="11" t="n"/>
      <c r="M24" s="11">
        <f>SUM(L4:L24)</f>
        <v/>
      </c>
      <c r="N24" s="11">
        <f>IF(L24=0,"",ROUND(G24/L24,0))</f>
        <v/>
      </c>
      <c r="O24" s="11" t="n"/>
      <c r="P24" s="11">
        <f>SUM(O4:O24)</f>
        <v/>
      </c>
      <c r="Q24" s="11" t="n"/>
      <c r="R24" s="11" t="n"/>
      <c r="S24" s="11" t="n"/>
      <c r="T24" s="11">
        <f>Q24+R24+S24</f>
        <v/>
      </c>
      <c r="U24" s="11">
        <f>SUM(T4:T24)</f>
        <v/>
      </c>
      <c r="V24" s="13">
        <f>IF(SUM(K4:K24)=0,"",U24/SUM(K4:K24))</f>
        <v/>
      </c>
    </row>
    <row r="25" ht="18" customHeight="1">
      <c r="A25" s="20" t="n">
        <v>46256</v>
      </c>
      <c r="B25" s="21" t="inlineStr">
        <is>
          <t>土</t>
        </is>
      </c>
      <c r="C25" s="22" t="n"/>
      <c r="D25" s="23" t="n"/>
      <c r="E25" s="24" t="n"/>
      <c r="F25" s="24">
        <f>SUM(E4:E25)</f>
        <v/>
      </c>
      <c r="G25" s="24" t="n"/>
      <c r="H25" s="24">
        <f>SUM(G4:G25)</f>
        <v/>
      </c>
      <c r="I25" s="25">
        <f>IF(E25=0,"",G25/E25)</f>
        <v/>
      </c>
      <c r="J25" s="24">
        <f>ROUND(G25*0.1,0)</f>
        <v/>
      </c>
      <c r="K25" s="24">
        <f>G25+J25</f>
        <v/>
      </c>
      <c r="L25" s="24" t="n"/>
      <c r="M25" s="24">
        <f>SUM(L4:L25)</f>
        <v/>
      </c>
      <c r="N25" s="24">
        <f>IF(L25=0,"",ROUND(G25/L25,0))</f>
        <v/>
      </c>
      <c r="O25" s="24" t="n"/>
      <c r="P25" s="24">
        <f>SUM(O4:O25)</f>
        <v/>
      </c>
      <c r="Q25" s="24" t="n"/>
      <c r="R25" s="24" t="n"/>
      <c r="S25" s="24" t="n"/>
      <c r="T25" s="24">
        <f>Q25+R25+S25</f>
        <v/>
      </c>
      <c r="U25" s="24">
        <f>SUM(T4:T25)</f>
        <v/>
      </c>
      <c r="V25" s="26">
        <f>IF(SUM(K4:K25)=0,"",U25/SUM(K4:K25))</f>
        <v/>
      </c>
    </row>
    <row r="26" ht="18" customHeight="1">
      <c r="A26" s="27" t="n">
        <v>46257</v>
      </c>
      <c r="B26" s="28" t="inlineStr">
        <is>
          <t>日</t>
        </is>
      </c>
      <c r="C26" s="29" t="n"/>
      <c r="D26" s="30" t="n"/>
      <c r="E26" s="31" t="n"/>
      <c r="F26" s="31">
        <f>SUM(E4:E26)</f>
        <v/>
      </c>
      <c r="G26" s="31" t="n"/>
      <c r="H26" s="31">
        <f>SUM(G4:G26)</f>
        <v/>
      </c>
      <c r="I26" s="32">
        <f>IF(E26=0,"",G26/E26)</f>
        <v/>
      </c>
      <c r="J26" s="31">
        <f>ROUND(G26*0.1,0)</f>
        <v/>
      </c>
      <c r="K26" s="31">
        <f>G26+J26</f>
        <v/>
      </c>
      <c r="L26" s="31" t="n"/>
      <c r="M26" s="31">
        <f>SUM(L4:L26)</f>
        <v/>
      </c>
      <c r="N26" s="31">
        <f>IF(L26=0,"",ROUND(G26/L26,0))</f>
        <v/>
      </c>
      <c r="O26" s="31" t="n"/>
      <c r="P26" s="31">
        <f>SUM(O4:O26)</f>
        <v/>
      </c>
      <c r="Q26" s="31" t="n"/>
      <c r="R26" s="31" t="n"/>
      <c r="S26" s="31" t="n"/>
      <c r="T26" s="31">
        <f>Q26+R26+S26</f>
        <v/>
      </c>
      <c r="U26" s="31">
        <f>SUM(T4:T26)</f>
        <v/>
      </c>
      <c r="V26" s="33">
        <f>IF(SUM(K4:K26)=0,"",U26/SUM(K4:K26))</f>
        <v/>
      </c>
    </row>
    <row r="27" ht="18" customHeight="1">
      <c r="A27" s="14" t="n">
        <v>46258</v>
      </c>
      <c r="B27" s="15" t="inlineStr">
        <is>
          <t>月</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8" t="n">
        <v>46259</v>
      </c>
      <c r="B28" s="9" t="inlineStr">
        <is>
          <t>火</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14" t="n">
        <v>46260</v>
      </c>
      <c r="B29" s="15" t="inlineStr">
        <is>
          <t>水</t>
        </is>
      </c>
      <c r="C29" s="15" t="n"/>
      <c r="D29" s="16" t="n"/>
      <c r="E29" s="17" t="n"/>
      <c r="F29" s="17">
        <f>SUM(E4:E29)</f>
        <v/>
      </c>
      <c r="G29" s="17" t="n"/>
      <c r="H29" s="17">
        <f>SUM(G4:G29)</f>
        <v/>
      </c>
      <c r="I29" s="18">
        <f>IF(E29=0,"",G29/E29)</f>
        <v/>
      </c>
      <c r="J29" s="17">
        <f>ROUND(G29*0.1,0)</f>
        <v/>
      </c>
      <c r="K29" s="17">
        <f>G29+J29</f>
        <v/>
      </c>
      <c r="L29" s="17" t="n"/>
      <c r="M29" s="17">
        <f>SUM(L4:L29)</f>
        <v/>
      </c>
      <c r="N29" s="17">
        <f>IF(L29=0,"",ROUND(G29/L29,0))</f>
        <v/>
      </c>
      <c r="O29" s="17" t="n"/>
      <c r="P29" s="17">
        <f>SUM(O4:O29)</f>
        <v/>
      </c>
      <c r="Q29" s="17" t="n"/>
      <c r="R29" s="17" t="n"/>
      <c r="S29" s="17" t="n"/>
      <c r="T29" s="17">
        <f>Q29+R29+S29</f>
        <v/>
      </c>
      <c r="U29" s="17">
        <f>SUM(T4:T29)</f>
        <v/>
      </c>
      <c r="V29" s="19">
        <f>IF(SUM(K4:K29)=0,"",U29/SUM(K4:K29))</f>
        <v/>
      </c>
    </row>
    <row r="30" ht="18" customHeight="1">
      <c r="A30" s="8" t="n">
        <v>46261</v>
      </c>
      <c r="B30" s="9" t="inlineStr">
        <is>
          <t>木</t>
        </is>
      </c>
      <c r="C30" s="9" t="n"/>
      <c r="D30" s="10" t="n"/>
      <c r="E30" s="11" t="n"/>
      <c r="F30" s="11">
        <f>SUM(E4:E30)</f>
        <v/>
      </c>
      <c r="G30" s="11" t="n"/>
      <c r="H30" s="11">
        <f>SUM(G4:G30)</f>
        <v/>
      </c>
      <c r="I30" s="12">
        <f>IF(E30=0,"",G30/E30)</f>
        <v/>
      </c>
      <c r="J30" s="11">
        <f>ROUND(G30*0.1,0)</f>
        <v/>
      </c>
      <c r="K30" s="11">
        <f>G30+J30</f>
        <v/>
      </c>
      <c r="L30" s="11" t="n"/>
      <c r="M30" s="11">
        <f>SUM(L4:L30)</f>
        <v/>
      </c>
      <c r="N30" s="11">
        <f>IF(L30=0,"",ROUND(G30/L30,0))</f>
        <v/>
      </c>
      <c r="O30" s="11" t="n"/>
      <c r="P30" s="11">
        <f>SUM(O4:O30)</f>
        <v/>
      </c>
      <c r="Q30" s="11" t="n"/>
      <c r="R30" s="11" t="n"/>
      <c r="S30" s="11" t="n"/>
      <c r="T30" s="11">
        <f>Q30+R30+S30</f>
        <v/>
      </c>
      <c r="U30" s="11">
        <f>SUM(T4:T30)</f>
        <v/>
      </c>
      <c r="V30" s="13">
        <f>IF(SUM(K4:K30)=0,"",U30/SUM(K4:K30))</f>
        <v/>
      </c>
    </row>
    <row r="31" ht="18" customHeight="1">
      <c r="A31" s="14" t="n">
        <v>46262</v>
      </c>
      <c r="B31" s="15" t="inlineStr">
        <is>
          <t>金</t>
        </is>
      </c>
      <c r="C31" s="15" t="n"/>
      <c r="D31" s="16" t="n"/>
      <c r="E31" s="17" t="n"/>
      <c r="F31" s="17">
        <f>SUM(E4:E31)</f>
        <v/>
      </c>
      <c r="G31" s="17" t="n"/>
      <c r="H31" s="17">
        <f>SUM(G4:G31)</f>
        <v/>
      </c>
      <c r="I31" s="18">
        <f>IF(E31=0,"",G31/E31)</f>
        <v/>
      </c>
      <c r="J31" s="17">
        <f>ROUND(G31*0.1,0)</f>
        <v/>
      </c>
      <c r="K31" s="17">
        <f>G31+J31</f>
        <v/>
      </c>
      <c r="L31" s="17" t="n"/>
      <c r="M31" s="17">
        <f>SUM(L4:L31)</f>
        <v/>
      </c>
      <c r="N31" s="17">
        <f>IF(L31=0,"",ROUND(G31/L31,0))</f>
        <v/>
      </c>
      <c r="O31" s="17" t="n"/>
      <c r="P31" s="17">
        <f>SUM(O4:O31)</f>
        <v/>
      </c>
      <c r="Q31" s="17" t="n"/>
      <c r="R31" s="17" t="n"/>
      <c r="S31" s="17" t="n"/>
      <c r="T31" s="17">
        <f>Q31+R31+S31</f>
        <v/>
      </c>
      <c r="U31" s="17">
        <f>SUM(T4:T31)</f>
        <v/>
      </c>
      <c r="V31" s="19">
        <f>IF(SUM(K4:K31)=0,"",U31/SUM(K4:K31))</f>
        <v/>
      </c>
    </row>
    <row r="32" ht="18" customHeight="1">
      <c r="A32" s="20" t="n">
        <v>46263</v>
      </c>
      <c r="B32" s="21" t="inlineStr">
        <is>
          <t>土</t>
        </is>
      </c>
      <c r="C32" s="22" t="n"/>
      <c r="D32" s="23" t="n"/>
      <c r="E32" s="24" t="n"/>
      <c r="F32" s="24">
        <f>SUM(E4:E32)</f>
        <v/>
      </c>
      <c r="G32" s="24" t="n"/>
      <c r="H32" s="24">
        <f>SUM(G4:G32)</f>
        <v/>
      </c>
      <c r="I32" s="25">
        <f>IF(E32=0,"",G32/E32)</f>
        <v/>
      </c>
      <c r="J32" s="24">
        <f>ROUND(G32*0.1,0)</f>
        <v/>
      </c>
      <c r="K32" s="24">
        <f>G32+J32</f>
        <v/>
      </c>
      <c r="L32" s="24" t="n"/>
      <c r="M32" s="24">
        <f>SUM(L4:L32)</f>
        <v/>
      </c>
      <c r="N32" s="24">
        <f>IF(L32=0,"",ROUND(G32/L32,0))</f>
        <v/>
      </c>
      <c r="O32" s="24" t="n"/>
      <c r="P32" s="24">
        <f>SUM(O4:O32)</f>
        <v/>
      </c>
      <c r="Q32" s="24" t="n"/>
      <c r="R32" s="24" t="n"/>
      <c r="S32" s="24" t="n"/>
      <c r="T32" s="24">
        <f>Q32+R32+S32</f>
        <v/>
      </c>
      <c r="U32" s="24">
        <f>SUM(T4:T32)</f>
        <v/>
      </c>
      <c r="V32" s="26">
        <f>IF(SUM(K4:K32)=0,"",U32/SUM(K4:K32))</f>
        <v/>
      </c>
    </row>
    <row r="33" ht="18" customHeight="1">
      <c r="A33" s="27" t="n">
        <v>46264</v>
      </c>
      <c r="B33" s="28" t="inlineStr">
        <is>
          <t>日</t>
        </is>
      </c>
      <c r="C33" s="29" t="n"/>
      <c r="D33" s="30" t="n"/>
      <c r="E33" s="31" t="n"/>
      <c r="F33" s="31">
        <f>SUM(E4:E33)</f>
        <v/>
      </c>
      <c r="G33" s="31" t="n"/>
      <c r="H33" s="31">
        <f>SUM(G4:G33)</f>
        <v/>
      </c>
      <c r="I33" s="32">
        <f>IF(E33=0,"",G33/E33)</f>
        <v/>
      </c>
      <c r="J33" s="31">
        <f>ROUND(G33*0.1,0)</f>
        <v/>
      </c>
      <c r="K33" s="31">
        <f>G33+J33</f>
        <v/>
      </c>
      <c r="L33" s="31" t="n"/>
      <c r="M33" s="31">
        <f>SUM(L4:L33)</f>
        <v/>
      </c>
      <c r="N33" s="31">
        <f>IF(L33=0,"",ROUND(G33/L33,0))</f>
        <v/>
      </c>
      <c r="O33" s="31" t="n"/>
      <c r="P33" s="31">
        <f>SUM(O4:O33)</f>
        <v/>
      </c>
      <c r="Q33" s="31" t="n"/>
      <c r="R33" s="31" t="n"/>
      <c r="S33" s="31" t="n"/>
      <c r="T33" s="31">
        <f>Q33+R33+S33</f>
        <v/>
      </c>
      <c r="U33" s="31">
        <f>SUM(T4:T33)</f>
        <v/>
      </c>
      <c r="V33" s="33">
        <f>IF(SUM(K4:K33)=0,"",U33/SUM(K4:K33))</f>
        <v/>
      </c>
    </row>
    <row r="34" ht="18" customHeight="1">
      <c r="A34" s="8" t="n">
        <v>46265</v>
      </c>
      <c r="B34" s="9" t="inlineStr">
        <is>
          <t>月</t>
        </is>
      </c>
      <c r="C34" s="9" t="n"/>
      <c r="D34" s="10" t="n"/>
      <c r="E34" s="11" t="n"/>
      <c r="F34" s="11">
        <f>SUM(E4:E34)</f>
        <v/>
      </c>
      <c r="G34" s="11" t="n"/>
      <c r="H34" s="11">
        <f>SUM(G4:G34)</f>
        <v/>
      </c>
      <c r="I34" s="12">
        <f>IF(E34=0,"",G34/E34)</f>
        <v/>
      </c>
      <c r="J34" s="11">
        <f>ROUND(G34*0.1,0)</f>
        <v/>
      </c>
      <c r="K34" s="11">
        <f>G34+J34</f>
        <v/>
      </c>
      <c r="L34" s="11" t="n"/>
      <c r="M34" s="11">
        <f>SUM(L4:L34)</f>
        <v/>
      </c>
      <c r="N34" s="11">
        <f>IF(L34=0,"",ROUND(G34/L34,0))</f>
        <v/>
      </c>
      <c r="O34" s="11" t="n"/>
      <c r="P34" s="11">
        <f>SUM(O4:O34)</f>
        <v/>
      </c>
      <c r="Q34" s="11" t="n"/>
      <c r="R34" s="11" t="n"/>
      <c r="S34" s="11" t="n"/>
      <c r="T34" s="11">
        <f>Q34+R34+S34</f>
        <v/>
      </c>
      <c r="U34" s="11">
        <f>SUM(T4:T34)</f>
        <v/>
      </c>
      <c r="V34" s="13">
        <f>IF(SUM(K4:K34)=0,"",U34/SUM(K4:K34))</f>
        <v/>
      </c>
    </row>
    <row r="35" ht="22" customHeight="1">
      <c r="A35" s="34" t="inlineStr">
        <is>
          <t>月　合　計</t>
        </is>
      </c>
      <c r="E35" s="35">
        <f>SUM(E4:E34)</f>
        <v/>
      </c>
      <c r="F35" s="35">
        <f>F34</f>
        <v/>
      </c>
      <c r="G35" s="35">
        <f>SUM(G4:G34)</f>
        <v/>
      </c>
      <c r="H35" s="35">
        <f>H34</f>
        <v/>
      </c>
      <c r="I35" s="36">
        <f>IF(E35=0,"",G35/E35)</f>
        <v/>
      </c>
      <c r="J35" s="35">
        <f>ROUND(G35*0.1,0)</f>
        <v/>
      </c>
      <c r="K35" s="35">
        <f>G35+J35</f>
        <v/>
      </c>
      <c r="L35" s="35">
        <f>SUM(L4:L34)</f>
        <v/>
      </c>
      <c r="M35" s="35">
        <f>M34</f>
        <v/>
      </c>
      <c r="N35" s="35">
        <f>IF(L35=0,"",ROUND(G35/L35,0))</f>
        <v/>
      </c>
      <c r="O35" s="35">
        <f>SUM(O4:O34)</f>
        <v/>
      </c>
      <c r="P35" s="35">
        <f>P34</f>
        <v/>
      </c>
      <c r="Q35" s="35">
        <f>SUM(Q4:Q34)</f>
        <v/>
      </c>
      <c r="R35" s="35">
        <f>SUM(R4:R34)</f>
        <v/>
      </c>
      <c r="S35" s="35">
        <f>SUM(S4:S34)</f>
        <v/>
      </c>
      <c r="T35" s="35">
        <f>SUM(T4:T34)</f>
        <v/>
      </c>
      <c r="U35" s="35">
        <f>U34</f>
        <v/>
      </c>
      <c r="V35" s="37">
        <f>IF(K35=0,"",T35/K35)</f>
        <v/>
      </c>
    </row>
    <row r="37">
      <c r="A37" s="38" t="inlineStr">
        <is>
          <t>【凡例】</t>
        </is>
      </c>
    </row>
    <row r="38">
      <c r="A38" s="39" t="inlineStr">
        <is>
          <t>■ 青背景：土曜日</t>
        </is>
      </c>
    </row>
    <row r="39">
      <c r="A39" s="40" t="inlineStr">
        <is>
          <t>■ 赤背景：日曜日</t>
        </is>
      </c>
    </row>
    <row r="40">
      <c r="A40" s="41" t="inlineStr">
        <is>
          <t>■ 緑ヘッダー：従業員入力欄</t>
        </is>
      </c>
    </row>
    <row r="41">
      <c r="A41" s="42" t="inlineStr">
        <is>
          <t>■ グレーヘッダー：自動計算欄（入力不要）</t>
        </is>
      </c>
    </row>
  </sheetData>
  <mergeCells count="7">
    <mergeCell ref="E2:J2"/>
    <mergeCell ref="Q2:U2"/>
    <mergeCell ref="A35:D35"/>
    <mergeCell ref="A1:V1"/>
    <mergeCell ref="L2:O2"/>
    <mergeCell ref="B2:B3"/>
    <mergeCell ref="A2:A3"/>
  </mergeCells>
  <dataValidations count="3">
    <dataValidation sqref="C4 C5 C6 C7 C8 C9 C10 C11 C12 C13 C14 C15 C16 C17 C18 C19 C20 C21 C22 C23 C24 C25 C26 C27 C28 C29 C30 C31 C32 C33 C34"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D34"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E34 G4 G5 G6 G7 G8 G9 G10 G11 G12 G13 G14 G15 G16 G17 G18 G19 G20 G21 G22 G23 G24 G25 G26 G27 G28 G29 G30 G31 G32 G33 G34 L4 L5 L6 L7 L8 L9 L10 L11 L12 L13 L14 L15 L16 L17 L18 L19 L20 L21 L22 L23 L24 L25 L26 L27 L28 L29 L30 L31 L32 L33 L34 O4 O5 O6 O7 O8 O9 O10 O11 O12 O13 O14 O15 O16 O17 O18 O19 O20 O21 O22 O23 O24 O25 O26 O27 O28 O29 O30 O31 O32 O33 O34 Q4 Q5 Q6 Q7 Q8 Q9 Q10 Q11 Q12 Q13 Q14 Q15 Q16 Q17 Q18 Q19 Q20 Q21 Q22 Q23 Q24 Q25 Q26 Q27 Q28 Q29 Q30 Q31 Q32 Q33 Q34 R4 R5 R6 R7 R8 R9 R10 R11 R12 R13 R14 R15 R16 R17 R18 R19 R20 R21 R22 R23 R24 R25 R26 R27 R28 R29 R30 R31 R32 R33 R34 S4 S5 S6 S7 S8 S9 S10 S11 S12 S13 S14 S15 S16 S17 S18 S19 S20 S21 S22 S23 S24 S25 S26 S27 S28 S29 S30 S31 S32 S33 S34"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sheetPr>
  <dimension ref="A1:X40"/>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9月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46266</v>
      </c>
      <c r="B4" s="9" t="inlineStr">
        <is>
          <t>火</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14" t="n">
        <v>46267</v>
      </c>
      <c r="B5" s="15" t="inlineStr">
        <is>
          <t>水</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8" t="n">
        <v>46268</v>
      </c>
      <c r="B6" s="9" t="inlineStr">
        <is>
          <t>木</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14" t="n">
        <v>46269</v>
      </c>
      <c r="B7" s="15" t="inlineStr">
        <is>
          <t>金</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20" t="n">
        <v>46270</v>
      </c>
      <c r="B8" s="21" t="inlineStr">
        <is>
          <t>土</t>
        </is>
      </c>
      <c r="C8" s="22" t="n"/>
      <c r="D8" s="23" t="n"/>
      <c r="E8" s="24" t="n"/>
      <c r="F8" s="24">
        <f>SUM(E4:E8)</f>
        <v/>
      </c>
      <c r="G8" s="24" t="n"/>
      <c r="H8" s="24">
        <f>SUM(G4:G8)</f>
        <v/>
      </c>
      <c r="I8" s="25">
        <f>IF(E8=0,"",G8/E8)</f>
        <v/>
      </c>
      <c r="J8" s="24">
        <f>ROUND(G8*0.1,0)</f>
        <v/>
      </c>
      <c r="K8" s="24">
        <f>G8+J8</f>
        <v/>
      </c>
      <c r="L8" s="24" t="n"/>
      <c r="M8" s="24">
        <f>SUM(L4:L8)</f>
        <v/>
      </c>
      <c r="N8" s="24">
        <f>IF(L8=0,"",ROUND(G8/L8,0))</f>
        <v/>
      </c>
      <c r="O8" s="24" t="n"/>
      <c r="P8" s="24">
        <f>SUM(O4:O8)</f>
        <v/>
      </c>
      <c r="Q8" s="24" t="n"/>
      <c r="R8" s="24" t="n"/>
      <c r="S8" s="24" t="n"/>
      <c r="T8" s="24">
        <f>Q8+R8+S8</f>
        <v/>
      </c>
      <c r="U8" s="24">
        <f>SUM(T4:T8)</f>
        <v/>
      </c>
      <c r="V8" s="26">
        <f>IF(SUM(K4:K8)=0,"",U8/SUM(K4:K8))</f>
        <v/>
      </c>
    </row>
    <row r="9" ht="18" customHeight="1">
      <c r="A9" s="27" t="n">
        <v>46271</v>
      </c>
      <c r="B9" s="28" t="inlineStr">
        <is>
          <t>日</t>
        </is>
      </c>
      <c r="C9" s="29" t="n"/>
      <c r="D9" s="30" t="n"/>
      <c r="E9" s="31" t="n"/>
      <c r="F9" s="31">
        <f>SUM(E4:E9)</f>
        <v/>
      </c>
      <c r="G9" s="31" t="n"/>
      <c r="H9" s="31">
        <f>SUM(G4:G9)</f>
        <v/>
      </c>
      <c r="I9" s="32">
        <f>IF(E9=0,"",G9/E9)</f>
        <v/>
      </c>
      <c r="J9" s="31">
        <f>ROUND(G9*0.1,0)</f>
        <v/>
      </c>
      <c r="K9" s="31">
        <f>G9+J9</f>
        <v/>
      </c>
      <c r="L9" s="31" t="n"/>
      <c r="M9" s="31">
        <f>SUM(L4:L9)</f>
        <v/>
      </c>
      <c r="N9" s="31">
        <f>IF(L9=0,"",ROUND(G9/L9,0))</f>
        <v/>
      </c>
      <c r="O9" s="31" t="n"/>
      <c r="P9" s="31">
        <f>SUM(O4:O9)</f>
        <v/>
      </c>
      <c r="Q9" s="31" t="n"/>
      <c r="R9" s="31" t="n"/>
      <c r="S9" s="31" t="n"/>
      <c r="T9" s="31">
        <f>Q9+R9+S9</f>
        <v/>
      </c>
      <c r="U9" s="31">
        <f>SUM(T4:T9)</f>
        <v/>
      </c>
      <c r="V9" s="33">
        <f>IF(SUM(K4:K9)=0,"",U9/SUM(K4:K9))</f>
        <v/>
      </c>
    </row>
    <row r="10" ht="18" customHeight="1">
      <c r="A10" s="8" t="n">
        <v>46272</v>
      </c>
      <c r="B10" s="9" t="inlineStr">
        <is>
          <t>月</t>
        </is>
      </c>
      <c r="C10" s="9" t="n"/>
      <c r="D10" s="10" t="n"/>
      <c r="E10" s="11" t="n"/>
      <c r="F10" s="11">
        <f>SUM(E4:E10)</f>
        <v/>
      </c>
      <c r="G10" s="11" t="n"/>
      <c r="H10" s="11">
        <f>SUM(G4:G10)</f>
        <v/>
      </c>
      <c r="I10" s="12">
        <f>IF(E10=0,"",G10/E10)</f>
        <v/>
      </c>
      <c r="J10" s="11">
        <f>ROUND(G10*0.1,0)</f>
        <v/>
      </c>
      <c r="K10" s="11">
        <f>G10+J10</f>
        <v/>
      </c>
      <c r="L10" s="11" t="n"/>
      <c r="M10" s="11">
        <f>SUM(L4:L10)</f>
        <v/>
      </c>
      <c r="N10" s="11">
        <f>IF(L10=0,"",ROUND(G10/L10,0))</f>
        <v/>
      </c>
      <c r="O10" s="11" t="n"/>
      <c r="P10" s="11">
        <f>SUM(O4:O10)</f>
        <v/>
      </c>
      <c r="Q10" s="11" t="n"/>
      <c r="R10" s="11" t="n"/>
      <c r="S10" s="11" t="n"/>
      <c r="T10" s="11">
        <f>Q10+R10+S10</f>
        <v/>
      </c>
      <c r="U10" s="11">
        <f>SUM(T4:T10)</f>
        <v/>
      </c>
      <c r="V10" s="13">
        <f>IF(SUM(K4:K10)=0,"",U10/SUM(K4:K10))</f>
        <v/>
      </c>
    </row>
    <row r="11" ht="18" customHeight="1">
      <c r="A11" s="14" t="n">
        <v>46273</v>
      </c>
      <c r="B11" s="15" t="inlineStr">
        <is>
          <t>火</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8" t="n">
        <v>46274</v>
      </c>
      <c r="B12" s="9" t="inlineStr">
        <is>
          <t>水</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14" t="n">
        <v>46275</v>
      </c>
      <c r="B13" s="15" t="inlineStr">
        <is>
          <t>木</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8" t="n">
        <v>46276</v>
      </c>
      <c r="B14" s="9" t="inlineStr">
        <is>
          <t>金</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20" t="n">
        <v>46277</v>
      </c>
      <c r="B15" s="21" t="inlineStr">
        <is>
          <t>土</t>
        </is>
      </c>
      <c r="C15" s="22" t="n"/>
      <c r="D15" s="23" t="n"/>
      <c r="E15" s="24" t="n"/>
      <c r="F15" s="24">
        <f>SUM(E4:E15)</f>
        <v/>
      </c>
      <c r="G15" s="24" t="n"/>
      <c r="H15" s="24">
        <f>SUM(G4:G15)</f>
        <v/>
      </c>
      <c r="I15" s="25">
        <f>IF(E15=0,"",G15/E15)</f>
        <v/>
      </c>
      <c r="J15" s="24">
        <f>ROUND(G15*0.1,0)</f>
        <v/>
      </c>
      <c r="K15" s="24">
        <f>G15+J15</f>
        <v/>
      </c>
      <c r="L15" s="24" t="n"/>
      <c r="M15" s="24">
        <f>SUM(L4:L15)</f>
        <v/>
      </c>
      <c r="N15" s="24">
        <f>IF(L15=0,"",ROUND(G15/L15,0))</f>
        <v/>
      </c>
      <c r="O15" s="24" t="n"/>
      <c r="P15" s="24">
        <f>SUM(O4:O15)</f>
        <v/>
      </c>
      <c r="Q15" s="24" t="n"/>
      <c r="R15" s="24" t="n"/>
      <c r="S15" s="24" t="n"/>
      <c r="T15" s="24">
        <f>Q15+R15+S15</f>
        <v/>
      </c>
      <c r="U15" s="24">
        <f>SUM(T4:T15)</f>
        <v/>
      </c>
      <c r="V15" s="26">
        <f>IF(SUM(K4:K15)=0,"",U15/SUM(K4:K15))</f>
        <v/>
      </c>
    </row>
    <row r="16" ht="18" customHeight="1">
      <c r="A16" s="27" t="n">
        <v>46278</v>
      </c>
      <c r="B16" s="28" t="inlineStr">
        <is>
          <t>日</t>
        </is>
      </c>
      <c r="C16" s="29" t="n"/>
      <c r="D16" s="30" t="n"/>
      <c r="E16" s="31" t="n"/>
      <c r="F16" s="31">
        <f>SUM(E4:E16)</f>
        <v/>
      </c>
      <c r="G16" s="31" t="n"/>
      <c r="H16" s="31">
        <f>SUM(G4:G16)</f>
        <v/>
      </c>
      <c r="I16" s="32">
        <f>IF(E16=0,"",G16/E16)</f>
        <v/>
      </c>
      <c r="J16" s="31">
        <f>ROUND(G16*0.1,0)</f>
        <v/>
      </c>
      <c r="K16" s="31">
        <f>G16+J16</f>
        <v/>
      </c>
      <c r="L16" s="31" t="n"/>
      <c r="M16" s="31">
        <f>SUM(L4:L16)</f>
        <v/>
      </c>
      <c r="N16" s="31">
        <f>IF(L16=0,"",ROUND(G16/L16,0))</f>
        <v/>
      </c>
      <c r="O16" s="31" t="n"/>
      <c r="P16" s="31">
        <f>SUM(O4:O16)</f>
        <v/>
      </c>
      <c r="Q16" s="31" t="n"/>
      <c r="R16" s="31" t="n"/>
      <c r="S16" s="31" t="n"/>
      <c r="T16" s="31">
        <f>Q16+R16+S16</f>
        <v/>
      </c>
      <c r="U16" s="31">
        <f>SUM(T4:T16)</f>
        <v/>
      </c>
      <c r="V16" s="33">
        <f>IF(SUM(K4:K16)=0,"",U16/SUM(K4:K16))</f>
        <v/>
      </c>
    </row>
    <row r="17" ht="18" customHeight="1">
      <c r="A17" s="14" t="n">
        <v>46279</v>
      </c>
      <c r="B17" s="15" t="inlineStr">
        <is>
          <t>月</t>
        </is>
      </c>
      <c r="C17" s="15" t="n"/>
      <c r="D17" s="16" t="n"/>
      <c r="E17" s="17" t="n"/>
      <c r="F17" s="17">
        <f>SUM(E4:E17)</f>
        <v/>
      </c>
      <c r="G17" s="17" t="n"/>
      <c r="H17" s="17">
        <f>SUM(G4:G17)</f>
        <v/>
      </c>
      <c r="I17" s="18">
        <f>IF(E17=0,"",G17/E17)</f>
        <v/>
      </c>
      <c r="J17" s="17">
        <f>ROUND(G17*0.1,0)</f>
        <v/>
      </c>
      <c r="K17" s="17">
        <f>G17+J17</f>
        <v/>
      </c>
      <c r="L17" s="17" t="n"/>
      <c r="M17" s="17">
        <f>SUM(L4:L17)</f>
        <v/>
      </c>
      <c r="N17" s="17">
        <f>IF(L17=0,"",ROUND(G17/L17,0))</f>
        <v/>
      </c>
      <c r="O17" s="17" t="n"/>
      <c r="P17" s="17">
        <f>SUM(O4:O17)</f>
        <v/>
      </c>
      <c r="Q17" s="17" t="n"/>
      <c r="R17" s="17" t="n"/>
      <c r="S17" s="17" t="n"/>
      <c r="T17" s="17">
        <f>Q17+R17+S17</f>
        <v/>
      </c>
      <c r="U17" s="17">
        <f>SUM(T4:T17)</f>
        <v/>
      </c>
      <c r="V17" s="19">
        <f>IF(SUM(K4:K17)=0,"",U17/SUM(K4:K17))</f>
        <v/>
      </c>
    </row>
    <row r="18" ht="18" customHeight="1">
      <c r="A18" s="8" t="n">
        <v>46280</v>
      </c>
      <c r="B18" s="9" t="inlineStr">
        <is>
          <t>火</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14" t="n">
        <v>46281</v>
      </c>
      <c r="B19" s="15" t="inlineStr">
        <is>
          <t>水</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8" t="n">
        <v>46282</v>
      </c>
      <c r="B20" s="9" t="inlineStr">
        <is>
          <t>木</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14" t="n">
        <v>46283</v>
      </c>
      <c r="B21" s="15" t="inlineStr">
        <is>
          <t>金</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20" t="n">
        <v>46284</v>
      </c>
      <c r="B22" s="21" t="inlineStr">
        <is>
          <t>土</t>
        </is>
      </c>
      <c r="C22" s="22" t="n"/>
      <c r="D22" s="23" t="n"/>
      <c r="E22" s="24" t="n"/>
      <c r="F22" s="24">
        <f>SUM(E4:E22)</f>
        <v/>
      </c>
      <c r="G22" s="24" t="n"/>
      <c r="H22" s="24">
        <f>SUM(G4:G22)</f>
        <v/>
      </c>
      <c r="I22" s="25">
        <f>IF(E22=0,"",G22/E22)</f>
        <v/>
      </c>
      <c r="J22" s="24">
        <f>ROUND(G22*0.1,0)</f>
        <v/>
      </c>
      <c r="K22" s="24">
        <f>G22+J22</f>
        <v/>
      </c>
      <c r="L22" s="24" t="n"/>
      <c r="M22" s="24">
        <f>SUM(L4:L22)</f>
        <v/>
      </c>
      <c r="N22" s="24">
        <f>IF(L22=0,"",ROUND(G22/L22,0))</f>
        <v/>
      </c>
      <c r="O22" s="24" t="n"/>
      <c r="P22" s="24">
        <f>SUM(O4:O22)</f>
        <v/>
      </c>
      <c r="Q22" s="24" t="n"/>
      <c r="R22" s="24" t="n"/>
      <c r="S22" s="24" t="n"/>
      <c r="T22" s="24">
        <f>Q22+R22+S22</f>
        <v/>
      </c>
      <c r="U22" s="24">
        <f>SUM(T4:T22)</f>
        <v/>
      </c>
      <c r="V22" s="26">
        <f>IF(SUM(K4:K22)=0,"",U22/SUM(K4:K22))</f>
        <v/>
      </c>
    </row>
    <row r="23" ht="18" customHeight="1">
      <c r="A23" s="27" t="n">
        <v>46285</v>
      </c>
      <c r="B23" s="28" t="inlineStr">
        <is>
          <t>日</t>
        </is>
      </c>
      <c r="C23" s="29" t="n"/>
      <c r="D23" s="30" t="n"/>
      <c r="E23" s="31" t="n"/>
      <c r="F23" s="31">
        <f>SUM(E4:E23)</f>
        <v/>
      </c>
      <c r="G23" s="31" t="n"/>
      <c r="H23" s="31">
        <f>SUM(G4:G23)</f>
        <v/>
      </c>
      <c r="I23" s="32">
        <f>IF(E23=0,"",G23/E23)</f>
        <v/>
      </c>
      <c r="J23" s="31">
        <f>ROUND(G23*0.1,0)</f>
        <v/>
      </c>
      <c r="K23" s="31">
        <f>G23+J23</f>
        <v/>
      </c>
      <c r="L23" s="31" t="n"/>
      <c r="M23" s="31">
        <f>SUM(L4:L23)</f>
        <v/>
      </c>
      <c r="N23" s="31">
        <f>IF(L23=0,"",ROUND(G23/L23,0))</f>
        <v/>
      </c>
      <c r="O23" s="31" t="n"/>
      <c r="P23" s="31">
        <f>SUM(O4:O23)</f>
        <v/>
      </c>
      <c r="Q23" s="31" t="n"/>
      <c r="R23" s="31" t="n"/>
      <c r="S23" s="31" t="n"/>
      <c r="T23" s="31">
        <f>Q23+R23+S23</f>
        <v/>
      </c>
      <c r="U23" s="31">
        <f>SUM(T4:T23)</f>
        <v/>
      </c>
      <c r="V23" s="33">
        <f>IF(SUM(K4:K23)=0,"",U23/SUM(K4:K23))</f>
        <v/>
      </c>
    </row>
    <row r="24" ht="18" customHeight="1">
      <c r="A24" s="8" t="n">
        <v>46286</v>
      </c>
      <c r="B24" s="9" t="inlineStr">
        <is>
          <t>月</t>
        </is>
      </c>
      <c r="C24" s="9" t="n"/>
      <c r="D24" s="10" t="n"/>
      <c r="E24" s="11" t="n"/>
      <c r="F24" s="11">
        <f>SUM(E4:E24)</f>
        <v/>
      </c>
      <c r="G24" s="11" t="n"/>
      <c r="H24" s="11">
        <f>SUM(G4:G24)</f>
        <v/>
      </c>
      <c r="I24" s="12">
        <f>IF(E24=0,"",G24/E24)</f>
        <v/>
      </c>
      <c r="J24" s="11">
        <f>ROUND(G24*0.1,0)</f>
        <v/>
      </c>
      <c r="K24" s="11">
        <f>G24+J24</f>
        <v/>
      </c>
      <c r="L24" s="11" t="n"/>
      <c r="M24" s="11">
        <f>SUM(L4:L24)</f>
        <v/>
      </c>
      <c r="N24" s="11">
        <f>IF(L24=0,"",ROUND(G24/L24,0))</f>
        <v/>
      </c>
      <c r="O24" s="11" t="n"/>
      <c r="P24" s="11">
        <f>SUM(O4:O24)</f>
        <v/>
      </c>
      <c r="Q24" s="11" t="n"/>
      <c r="R24" s="11" t="n"/>
      <c r="S24" s="11" t="n"/>
      <c r="T24" s="11">
        <f>Q24+R24+S24</f>
        <v/>
      </c>
      <c r="U24" s="11">
        <f>SUM(T4:T24)</f>
        <v/>
      </c>
      <c r="V24" s="13">
        <f>IF(SUM(K4:K24)=0,"",U24/SUM(K4:K24))</f>
        <v/>
      </c>
    </row>
    <row r="25" ht="18" customHeight="1">
      <c r="A25" s="14" t="n">
        <v>46287</v>
      </c>
      <c r="B25" s="15" t="inlineStr">
        <is>
          <t>火</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8" t="n">
        <v>46288</v>
      </c>
      <c r="B26" s="9" t="inlineStr">
        <is>
          <t>水</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14" t="n">
        <v>46289</v>
      </c>
      <c r="B27" s="15" t="inlineStr">
        <is>
          <t>木</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8" t="n">
        <v>46290</v>
      </c>
      <c r="B28" s="9" t="inlineStr">
        <is>
          <t>金</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20" t="n">
        <v>46291</v>
      </c>
      <c r="B29" s="21" t="inlineStr">
        <is>
          <t>土</t>
        </is>
      </c>
      <c r="C29" s="22" t="n"/>
      <c r="D29" s="23" t="n"/>
      <c r="E29" s="24" t="n"/>
      <c r="F29" s="24">
        <f>SUM(E4:E29)</f>
        <v/>
      </c>
      <c r="G29" s="24" t="n"/>
      <c r="H29" s="24">
        <f>SUM(G4:G29)</f>
        <v/>
      </c>
      <c r="I29" s="25">
        <f>IF(E29=0,"",G29/E29)</f>
        <v/>
      </c>
      <c r="J29" s="24">
        <f>ROUND(G29*0.1,0)</f>
        <v/>
      </c>
      <c r="K29" s="24">
        <f>G29+J29</f>
        <v/>
      </c>
      <c r="L29" s="24" t="n"/>
      <c r="M29" s="24">
        <f>SUM(L4:L29)</f>
        <v/>
      </c>
      <c r="N29" s="24">
        <f>IF(L29=0,"",ROUND(G29/L29,0))</f>
        <v/>
      </c>
      <c r="O29" s="24" t="n"/>
      <c r="P29" s="24">
        <f>SUM(O4:O29)</f>
        <v/>
      </c>
      <c r="Q29" s="24" t="n"/>
      <c r="R29" s="24" t="n"/>
      <c r="S29" s="24" t="n"/>
      <c r="T29" s="24">
        <f>Q29+R29+S29</f>
        <v/>
      </c>
      <c r="U29" s="24">
        <f>SUM(T4:T29)</f>
        <v/>
      </c>
      <c r="V29" s="26">
        <f>IF(SUM(K4:K29)=0,"",U29/SUM(K4:K29))</f>
        <v/>
      </c>
    </row>
    <row r="30" ht="18" customHeight="1">
      <c r="A30" s="27" t="n">
        <v>46292</v>
      </c>
      <c r="B30" s="28" t="inlineStr">
        <is>
          <t>日</t>
        </is>
      </c>
      <c r="C30" s="29" t="n"/>
      <c r="D30" s="30" t="n"/>
      <c r="E30" s="31" t="n"/>
      <c r="F30" s="31">
        <f>SUM(E4:E30)</f>
        <v/>
      </c>
      <c r="G30" s="31" t="n"/>
      <c r="H30" s="31">
        <f>SUM(G4:G30)</f>
        <v/>
      </c>
      <c r="I30" s="32">
        <f>IF(E30=0,"",G30/E30)</f>
        <v/>
      </c>
      <c r="J30" s="31">
        <f>ROUND(G30*0.1,0)</f>
        <v/>
      </c>
      <c r="K30" s="31">
        <f>G30+J30</f>
        <v/>
      </c>
      <c r="L30" s="31" t="n"/>
      <c r="M30" s="31">
        <f>SUM(L4:L30)</f>
        <v/>
      </c>
      <c r="N30" s="31">
        <f>IF(L30=0,"",ROUND(G30/L30,0))</f>
        <v/>
      </c>
      <c r="O30" s="31" t="n"/>
      <c r="P30" s="31">
        <f>SUM(O4:O30)</f>
        <v/>
      </c>
      <c r="Q30" s="31" t="n"/>
      <c r="R30" s="31" t="n"/>
      <c r="S30" s="31" t="n"/>
      <c r="T30" s="31">
        <f>Q30+R30+S30</f>
        <v/>
      </c>
      <c r="U30" s="31">
        <f>SUM(T4:T30)</f>
        <v/>
      </c>
      <c r="V30" s="33">
        <f>IF(SUM(K4:K30)=0,"",U30/SUM(K4:K30))</f>
        <v/>
      </c>
    </row>
    <row r="31" ht="18" customHeight="1">
      <c r="A31" s="14" t="n">
        <v>46293</v>
      </c>
      <c r="B31" s="15" t="inlineStr">
        <is>
          <t>月</t>
        </is>
      </c>
      <c r="C31" s="15" t="n"/>
      <c r="D31" s="16" t="n"/>
      <c r="E31" s="17" t="n"/>
      <c r="F31" s="17">
        <f>SUM(E4:E31)</f>
        <v/>
      </c>
      <c r="G31" s="17" t="n"/>
      <c r="H31" s="17">
        <f>SUM(G4:G31)</f>
        <v/>
      </c>
      <c r="I31" s="18">
        <f>IF(E31=0,"",G31/E31)</f>
        <v/>
      </c>
      <c r="J31" s="17">
        <f>ROUND(G31*0.1,0)</f>
        <v/>
      </c>
      <c r="K31" s="17">
        <f>G31+J31</f>
        <v/>
      </c>
      <c r="L31" s="17" t="n"/>
      <c r="M31" s="17">
        <f>SUM(L4:L31)</f>
        <v/>
      </c>
      <c r="N31" s="17">
        <f>IF(L31=0,"",ROUND(G31/L31,0))</f>
        <v/>
      </c>
      <c r="O31" s="17" t="n"/>
      <c r="P31" s="17">
        <f>SUM(O4:O31)</f>
        <v/>
      </c>
      <c r="Q31" s="17" t="n"/>
      <c r="R31" s="17" t="n"/>
      <c r="S31" s="17" t="n"/>
      <c r="T31" s="17">
        <f>Q31+R31+S31</f>
        <v/>
      </c>
      <c r="U31" s="17">
        <f>SUM(T4:T31)</f>
        <v/>
      </c>
      <c r="V31" s="19">
        <f>IF(SUM(K4:K31)=0,"",U31/SUM(K4:K31))</f>
        <v/>
      </c>
    </row>
    <row r="32" ht="18" customHeight="1">
      <c r="A32" s="8" t="n">
        <v>46294</v>
      </c>
      <c r="B32" s="9" t="inlineStr">
        <is>
          <t>火</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14" t="n">
        <v>46295</v>
      </c>
      <c r="B33" s="15" t="inlineStr">
        <is>
          <t>水</t>
        </is>
      </c>
      <c r="C33" s="15" t="n"/>
      <c r="D33" s="16" t="n"/>
      <c r="E33" s="17" t="n"/>
      <c r="F33" s="17">
        <f>SUM(E4:E33)</f>
        <v/>
      </c>
      <c r="G33" s="17" t="n"/>
      <c r="H33" s="17">
        <f>SUM(G4:G33)</f>
        <v/>
      </c>
      <c r="I33" s="18">
        <f>IF(E33=0,"",G33/E33)</f>
        <v/>
      </c>
      <c r="J33" s="17">
        <f>ROUND(G33*0.1,0)</f>
        <v/>
      </c>
      <c r="K33" s="17">
        <f>G33+J33</f>
        <v/>
      </c>
      <c r="L33" s="17" t="n"/>
      <c r="M33" s="17">
        <f>SUM(L4:L33)</f>
        <v/>
      </c>
      <c r="N33" s="17">
        <f>IF(L33=0,"",ROUND(G33/L33,0))</f>
        <v/>
      </c>
      <c r="O33" s="17" t="n"/>
      <c r="P33" s="17">
        <f>SUM(O4:O33)</f>
        <v/>
      </c>
      <c r="Q33" s="17" t="n"/>
      <c r="R33" s="17" t="n"/>
      <c r="S33" s="17" t="n"/>
      <c r="T33" s="17">
        <f>Q33+R33+S33</f>
        <v/>
      </c>
      <c r="U33" s="17">
        <f>SUM(T4:T33)</f>
        <v/>
      </c>
      <c r="V33" s="19">
        <f>IF(SUM(K4:K33)=0,"",U33/SUM(K4:K33))</f>
        <v/>
      </c>
    </row>
    <row r="34" ht="22" customHeight="1">
      <c r="A34" s="34" t="inlineStr">
        <is>
          <t>月　合　計</t>
        </is>
      </c>
      <c r="E34" s="35">
        <f>SUM(E4:E33)</f>
        <v/>
      </c>
      <c r="F34" s="35">
        <f>F33</f>
        <v/>
      </c>
      <c r="G34" s="35">
        <f>SUM(G4:G33)</f>
        <v/>
      </c>
      <c r="H34" s="35">
        <f>H33</f>
        <v/>
      </c>
      <c r="I34" s="36">
        <f>IF(E34=0,"",G34/E34)</f>
        <v/>
      </c>
      <c r="J34" s="35">
        <f>ROUND(G34*0.1,0)</f>
        <v/>
      </c>
      <c r="K34" s="35">
        <f>G34+J34</f>
        <v/>
      </c>
      <c r="L34" s="35">
        <f>SUM(L4:L33)</f>
        <v/>
      </c>
      <c r="M34" s="35">
        <f>M33</f>
        <v/>
      </c>
      <c r="N34" s="35">
        <f>IF(L34=0,"",ROUND(G34/L34,0))</f>
        <v/>
      </c>
      <c r="O34" s="35">
        <f>SUM(O4:O33)</f>
        <v/>
      </c>
      <c r="P34" s="35">
        <f>P33</f>
        <v/>
      </c>
      <c r="Q34" s="35">
        <f>SUM(Q4:Q33)</f>
        <v/>
      </c>
      <c r="R34" s="35">
        <f>SUM(R4:R33)</f>
        <v/>
      </c>
      <c r="S34" s="35">
        <f>SUM(S4:S33)</f>
        <v/>
      </c>
      <c r="T34" s="35">
        <f>SUM(T4:T33)</f>
        <v/>
      </c>
      <c r="U34" s="35">
        <f>U33</f>
        <v/>
      </c>
      <c r="V34" s="37">
        <f>IF(K34=0,"",T34/K34)</f>
        <v/>
      </c>
    </row>
    <row r="36">
      <c r="A36" s="38" t="inlineStr">
        <is>
          <t>【凡例】</t>
        </is>
      </c>
    </row>
    <row r="37">
      <c r="A37" s="39" t="inlineStr">
        <is>
          <t>■ 青背景：土曜日</t>
        </is>
      </c>
    </row>
    <row r="38">
      <c r="A38" s="40" t="inlineStr">
        <is>
          <t>■ 赤背景：日曜日</t>
        </is>
      </c>
    </row>
    <row r="39">
      <c r="A39" s="41" t="inlineStr">
        <is>
          <t>■ 緑ヘッダー：従業員入力欄</t>
        </is>
      </c>
    </row>
    <row r="40">
      <c r="A40" s="42" t="inlineStr">
        <is>
          <t>■ グレーヘッダー：自動計算欄（入力不要）</t>
        </is>
      </c>
    </row>
  </sheetData>
  <mergeCells count="7">
    <mergeCell ref="E2:J2"/>
    <mergeCell ref="Q2:U2"/>
    <mergeCell ref="A34:D34"/>
    <mergeCell ref="A1:V1"/>
    <mergeCell ref="L2:O2"/>
    <mergeCell ref="B2:B3"/>
    <mergeCell ref="A2:A3"/>
  </mergeCells>
  <dataValidations count="3">
    <dataValidation sqref="C4 C5 C6 C7 C8 C9 C10 C11 C12 C13 C14 C15 C16 C17 C18 C19 C20 C21 C22 C23 C24 C25 C26 C27 C28 C29 C30 C31 C32 C33"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G4 G5 G6 G7 G8 G9 G10 G11 G12 G13 G14 G15 G16 G17 G18 G19 G20 G21 G22 G23 G24 G25 G26 G27 G28 G29 G30 G31 G32 G33 L4 L5 L6 L7 L8 L9 L10 L11 L12 L13 L14 L15 L16 L17 L18 L19 L20 L21 L22 L23 L24 L25 L26 L27 L28 L29 L30 L31 L32 L33 O4 O5 O6 O7 O8 O9 O10 O11 O12 O13 O14 O15 O16 O17 O18 O19 O20 O21 O22 O23 O24 O25 O26 O27 O28 O29 O30 O31 O32 O33 Q4 Q5 Q6 Q7 Q8 Q9 Q10 Q11 Q12 Q13 Q14 Q15 Q16 Q17 Q18 Q19 Q20 Q21 Q22 Q23 Q24 Q25 Q26 Q27 Q28 Q29 Q30 Q31 Q32 Q33 R4 R5 R6 R7 R8 R9 R10 R11 R12 R13 R14 R15 R16 R17 R18 R19 R20 R21 R22 R23 R24 R25 R26 R27 R28 R29 R30 R31 R32 R33 S4 S5 S6 S7 S8 S9 S10 S11 S12 S13 S14 S15 S16 S17 S18 S19 S20 S21 S22 S23 S24 S25 S26 S27 S28 S29 S30 S31 S32 S33"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sheetPr>
  <dimension ref="A1:X4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10月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46296</v>
      </c>
      <c r="B4" s="9" t="inlineStr">
        <is>
          <t>木</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14" t="n">
        <v>46297</v>
      </c>
      <c r="B5" s="15" t="inlineStr">
        <is>
          <t>金</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20" t="n">
        <v>46298</v>
      </c>
      <c r="B6" s="21" t="inlineStr">
        <is>
          <t>土</t>
        </is>
      </c>
      <c r="C6" s="22" t="n"/>
      <c r="D6" s="23" t="n"/>
      <c r="E6" s="24" t="n"/>
      <c r="F6" s="24">
        <f>SUM(E4:E6)</f>
        <v/>
      </c>
      <c r="G6" s="24" t="n"/>
      <c r="H6" s="24">
        <f>SUM(G4:G6)</f>
        <v/>
      </c>
      <c r="I6" s="25">
        <f>IF(E6=0,"",G6/E6)</f>
        <v/>
      </c>
      <c r="J6" s="24">
        <f>ROUND(G6*0.1,0)</f>
        <v/>
      </c>
      <c r="K6" s="24">
        <f>G6+J6</f>
        <v/>
      </c>
      <c r="L6" s="24" t="n"/>
      <c r="M6" s="24">
        <f>SUM(L4:L6)</f>
        <v/>
      </c>
      <c r="N6" s="24">
        <f>IF(L6=0,"",ROUND(G6/L6,0))</f>
        <v/>
      </c>
      <c r="O6" s="24" t="n"/>
      <c r="P6" s="24">
        <f>SUM(O4:O6)</f>
        <v/>
      </c>
      <c r="Q6" s="24" t="n"/>
      <c r="R6" s="24" t="n"/>
      <c r="S6" s="24" t="n"/>
      <c r="T6" s="24">
        <f>Q6+R6+S6</f>
        <v/>
      </c>
      <c r="U6" s="24">
        <f>SUM(T4:T6)</f>
        <v/>
      </c>
      <c r="V6" s="26">
        <f>IF(SUM(K4:K6)=0,"",U6/SUM(K4:K6))</f>
        <v/>
      </c>
    </row>
    <row r="7" ht="18" customHeight="1">
      <c r="A7" s="27" t="n">
        <v>46299</v>
      </c>
      <c r="B7" s="28" t="inlineStr">
        <is>
          <t>日</t>
        </is>
      </c>
      <c r="C7" s="29" t="n"/>
      <c r="D7" s="30" t="n"/>
      <c r="E7" s="31" t="n"/>
      <c r="F7" s="31">
        <f>SUM(E4:E7)</f>
        <v/>
      </c>
      <c r="G7" s="31" t="n"/>
      <c r="H7" s="31">
        <f>SUM(G4:G7)</f>
        <v/>
      </c>
      <c r="I7" s="32">
        <f>IF(E7=0,"",G7/E7)</f>
        <v/>
      </c>
      <c r="J7" s="31">
        <f>ROUND(G7*0.1,0)</f>
        <v/>
      </c>
      <c r="K7" s="31">
        <f>G7+J7</f>
        <v/>
      </c>
      <c r="L7" s="31" t="n"/>
      <c r="M7" s="31">
        <f>SUM(L4:L7)</f>
        <v/>
      </c>
      <c r="N7" s="31">
        <f>IF(L7=0,"",ROUND(G7/L7,0))</f>
        <v/>
      </c>
      <c r="O7" s="31" t="n"/>
      <c r="P7" s="31">
        <f>SUM(O4:O7)</f>
        <v/>
      </c>
      <c r="Q7" s="31" t="n"/>
      <c r="R7" s="31" t="n"/>
      <c r="S7" s="31" t="n"/>
      <c r="T7" s="31">
        <f>Q7+R7+S7</f>
        <v/>
      </c>
      <c r="U7" s="31">
        <f>SUM(T4:T7)</f>
        <v/>
      </c>
      <c r="V7" s="33">
        <f>IF(SUM(K4:K7)=0,"",U7/SUM(K4:K7))</f>
        <v/>
      </c>
    </row>
    <row r="8" ht="18" customHeight="1">
      <c r="A8" s="8" t="n">
        <v>46300</v>
      </c>
      <c r="B8" s="9" t="inlineStr">
        <is>
          <t>月</t>
        </is>
      </c>
      <c r="C8" s="9" t="n"/>
      <c r="D8" s="10" t="n"/>
      <c r="E8" s="11" t="n"/>
      <c r="F8" s="11">
        <f>SUM(E4:E8)</f>
        <v/>
      </c>
      <c r="G8" s="11" t="n"/>
      <c r="H8" s="11">
        <f>SUM(G4:G8)</f>
        <v/>
      </c>
      <c r="I8" s="12">
        <f>IF(E8=0,"",G8/E8)</f>
        <v/>
      </c>
      <c r="J8" s="11">
        <f>ROUND(G8*0.1,0)</f>
        <v/>
      </c>
      <c r="K8" s="11">
        <f>G8+J8</f>
        <v/>
      </c>
      <c r="L8" s="11" t="n"/>
      <c r="M8" s="11">
        <f>SUM(L4:L8)</f>
        <v/>
      </c>
      <c r="N8" s="11">
        <f>IF(L8=0,"",ROUND(G8/L8,0))</f>
        <v/>
      </c>
      <c r="O8" s="11" t="n"/>
      <c r="P8" s="11">
        <f>SUM(O4:O8)</f>
        <v/>
      </c>
      <c r="Q8" s="11" t="n"/>
      <c r="R8" s="11" t="n"/>
      <c r="S8" s="11" t="n"/>
      <c r="T8" s="11">
        <f>Q8+R8+S8</f>
        <v/>
      </c>
      <c r="U8" s="11">
        <f>SUM(T4:T8)</f>
        <v/>
      </c>
      <c r="V8" s="13">
        <f>IF(SUM(K4:K8)=0,"",U8/SUM(K4:K8))</f>
        <v/>
      </c>
    </row>
    <row r="9" ht="18" customHeight="1">
      <c r="A9" s="14" t="n">
        <v>46301</v>
      </c>
      <c r="B9" s="15" t="inlineStr">
        <is>
          <t>火</t>
        </is>
      </c>
      <c r="C9" s="15" t="n"/>
      <c r="D9" s="16" t="n"/>
      <c r="E9" s="17" t="n"/>
      <c r="F9" s="17">
        <f>SUM(E4:E9)</f>
        <v/>
      </c>
      <c r="G9" s="17" t="n"/>
      <c r="H9" s="17">
        <f>SUM(G4:G9)</f>
        <v/>
      </c>
      <c r="I9" s="18">
        <f>IF(E9=0,"",G9/E9)</f>
        <v/>
      </c>
      <c r="J9" s="17">
        <f>ROUND(G9*0.1,0)</f>
        <v/>
      </c>
      <c r="K9" s="17">
        <f>G9+J9</f>
        <v/>
      </c>
      <c r="L9" s="17" t="n"/>
      <c r="M9" s="17">
        <f>SUM(L4:L9)</f>
        <v/>
      </c>
      <c r="N9" s="17">
        <f>IF(L9=0,"",ROUND(G9/L9,0))</f>
        <v/>
      </c>
      <c r="O9" s="17" t="n"/>
      <c r="P9" s="17">
        <f>SUM(O4:O9)</f>
        <v/>
      </c>
      <c r="Q9" s="17" t="n"/>
      <c r="R9" s="17" t="n"/>
      <c r="S9" s="17" t="n"/>
      <c r="T9" s="17">
        <f>Q9+R9+S9</f>
        <v/>
      </c>
      <c r="U9" s="17">
        <f>SUM(T4:T9)</f>
        <v/>
      </c>
      <c r="V9" s="19">
        <f>IF(SUM(K4:K9)=0,"",U9/SUM(K4:K9))</f>
        <v/>
      </c>
    </row>
    <row r="10" ht="18" customHeight="1">
      <c r="A10" s="8" t="n">
        <v>46302</v>
      </c>
      <c r="B10" s="9" t="inlineStr">
        <is>
          <t>水</t>
        </is>
      </c>
      <c r="C10" s="9" t="n"/>
      <c r="D10" s="10" t="n"/>
      <c r="E10" s="11" t="n"/>
      <c r="F10" s="11">
        <f>SUM(E4:E10)</f>
        <v/>
      </c>
      <c r="G10" s="11" t="n"/>
      <c r="H10" s="11">
        <f>SUM(G4:G10)</f>
        <v/>
      </c>
      <c r="I10" s="12">
        <f>IF(E10=0,"",G10/E10)</f>
        <v/>
      </c>
      <c r="J10" s="11">
        <f>ROUND(G10*0.1,0)</f>
        <v/>
      </c>
      <c r="K10" s="11">
        <f>G10+J10</f>
        <v/>
      </c>
      <c r="L10" s="11" t="n"/>
      <c r="M10" s="11">
        <f>SUM(L4:L10)</f>
        <v/>
      </c>
      <c r="N10" s="11">
        <f>IF(L10=0,"",ROUND(G10/L10,0))</f>
        <v/>
      </c>
      <c r="O10" s="11" t="n"/>
      <c r="P10" s="11">
        <f>SUM(O4:O10)</f>
        <v/>
      </c>
      <c r="Q10" s="11" t="n"/>
      <c r="R10" s="11" t="n"/>
      <c r="S10" s="11" t="n"/>
      <c r="T10" s="11">
        <f>Q10+R10+S10</f>
        <v/>
      </c>
      <c r="U10" s="11">
        <f>SUM(T4:T10)</f>
        <v/>
      </c>
      <c r="V10" s="13">
        <f>IF(SUM(K4:K10)=0,"",U10/SUM(K4:K10))</f>
        <v/>
      </c>
    </row>
    <row r="11" ht="18" customHeight="1">
      <c r="A11" s="14" t="n">
        <v>46303</v>
      </c>
      <c r="B11" s="15" t="inlineStr">
        <is>
          <t>木</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8" t="n">
        <v>46304</v>
      </c>
      <c r="B12" s="9" t="inlineStr">
        <is>
          <t>金</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20" t="n">
        <v>46305</v>
      </c>
      <c r="B13" s="21" t="inlineStr">
        <is>
          <t>土</t>
        </is>
      </c>
      <c r="C13" s="22" t="n"/>
      <c r="D13" s="23" t="n"/>
      <c r="E13" s="24" t="n"/>
      <c r="F13" s="24">
        <f>SUM(E4:E13)</f>
        <v/>
      </c>
      <c r="G13" s="24" t="n"/>
      <c r="H13" s="24">
        <f>SUM(G4:G13)</f>
        <v/>
      </c>
      <c r="I13" s="25">
        <f>IF(E13=0,"",G13/E13)</f>
        <v/>
      </c>
      <c r="J13" s="24">
        <f>ROUND(G13*0.1,0)</f>
        <v/>
      </c>
      <c r="K13" s="24">
        <f>G13+J13</f>
        <v/>
      </c>
      <c r="L13" s="24" t="n"/>
      <c r="M13" s="24">
        <f>SUM(L4:L13)</f>
        <v/>
      </c>
      <c r="N13" s="24">
        <f>IF(L13=0,"",ROUND(G13/L13,0))</f>
        <v/>
      </c>
      <c r="O13" s="24" t="n"/>
      <c r="P13" s="24">
        <f>SUM(O4:O13)</f>
        <v/>
      </c>
      <c r="Q13" s="24" t="n"/>
      <c r="R13" s="24" t="n"/>
      <c r="S13" s="24" t="n"/>
      <c r="T13" s="24">
        <f>Q13+R13+S13</f>
        <v/>
      </c>
      <c r="U13" s="24">
        <f>SUM(T4:T13)</f>
        <v/>
      </c>
      <c r="V13" s="26">
        <f>IF(SUM(K4:K13)=0,"",U13/SUM(K4:K13))</f>
        <v/>
      </c>
    </row>
    <row r="14" ht="18" customHeight="1">
      <c r="A14" s="27" t="n">
        <v>46306</v>
      </c>
      <c r="B14" s="28" t="inlineStr">
        <is>
          <t>日</t>
        </is>
      </c>
      <c r="C14" s="29" t="n"/>
      <c r="D14" s="30" t="n"/>
      <c r="E14" s="31" t="n"/>
      <c r="F14" s="31">
        <f>SUM(E4:E14)</f>
        <v/>
      </c>
      <c r="G14" s="31" t="n"/>
      <c r="H14" s="31">
        <f>SUM(G4:G14)</f>
        <v/>
      </c>
      <c r="I14" s="32">
        <f>IF(E14=0,"",G14/E14)</f>
        <v/>
      </c>
      <c r="J14" s="31">
        <f>ROUND(G14*0.1,0)</f>
        <v/>
      </c>
      <c r="K14" s="31">
        <f>G14+J14</f>
        <v/>
      </c>
      <c r="L14" s="31" t="n"/>
      <c r="M14" s="31">
        <f>SUM(L4:L14)</f>
        <v/>
      </c>
      <c r="N14" s="31">
        <f>IF(L14=0,"",ROUND(G14/L14,0))</f>
        <v/>
      </c>
      <c r="O14" s="31" t="n"/>
      <c r="P14" s="31">
        <f>SUM(O4:O14)</f>
        <v/>
      </c>
      <c r="Q14" s="31" t="n"/>
      <c r="R14" s="31" t="n"/>
      <c r="S14" s="31" t="n"/>
      <c r="T14" s="31">
        <f>Q14+R14+S14</f>
        <v/>
      </c>
      <c r="U14" s="31">
        <f>SUM(T4:T14)</f>
        <v/>
      </c>
      <c r="V14" s="33">
        <f>IF(SUM(K4:K14)=0,"",U14/SUM(K4:K14))</f>
        <v/>
      </c>
    </row>
    <row r="15" ht="18" customHeight="1">
      <c r="A15" s="14" t="n">
        <v>46307</v>
      </c>
      <c r="B15" s="15" t="inlineStr">
        <is>
          <t>月</t>
        </is>
      </c>
      <c r="C15" s="15" t="n"/>
      <c r="D15" s="16" t="n"/>
      <c r="E15" s="17" t="n"/>
      <c r="F15" s="17">
        <f>SUM(E4:E15)</f>
        <v/>
      </c>
      <c r="G15" s="17" t="n"/>
      <c r="H15" s="17">
        <f>SUM(G4:G15)</f>
        <v/>
      </c>
      <c r="I15" s="18">
        <f>IF(E15=0,"",G15/E15)</f>
        <v/>
      </c>
      <c r="J15" s="17">
        <f>ROUND(G15*0.1,0)</f>
        <v/>
      </c>
      <c r="K15" s="17">
        <f>G15+J15</f>
        <v/>
      </c>
      <c r="L15" s="17" t="n"/>
      <c r="M15" s="17">
        <f>SUM(L4:L15)</f>
        <v/>
      </c>
      <c r="N15" s="17">
        <f>IF(L15=0,"",ROUND(G15/L15,0))</f>
        <v/>
      </c>
      <c r="O15" s="17" t="n"/>
      <c r="P15" s="17">
        <f>SUM(O4:O15)</f>
        <v/>
      </c>
      <c r="Q15" s="17" t="n"/>
      <c r="R15" s="17" t="n"/>
      <c r="S15" s="17" t="n"/>
      <c r="T15" s="17">
        <f>Q15+R15+S15</f>
        <v/>
      </c>
      <c r="U15" s="17">
        <f>SUM(T4:T15)</f>
        <v/>
      </c>
      <c r="V15" s="19">
        <f>IF(SUM(K4:K15)=0,"",U15/SUM(K4:K15))</f>
        <v/>
      </c>
    </row>
    <row r="16" ht="18" customHeight="1">
      <c r="A16" s="8" t="n">
        <v>46308</v>
      </c>
      <c r="B16" s="9" t="inlineStr">
        <is>
          <t>火</t>
        </is>
      </c>
      <c r="C16" s="9" t="n"/>
      <c r="D16" s="10" t="n"/>
      <c r="E16" s="11" t="n"/>
      <c r="F16" s="11">
        <f>SUM(E4:E16)</f>
        <v/>
      </c>
      <c r="G16" s="11" t="n"/>
      <c r="H16" s="11">
        <f>SUM(G4:G16)</f>
        <v/>
      </c>
      <c r="I16" s="12">
        <f>IF(E16=0,"",G16/E16)</f>
        <v/>
      </c>
      <c r="J16" s="11">
        <f>ROUND(G16*0.1,0)</f>
        <v/>
      </c>
      <c r="K16" s="11">
        <f>G16+J16</f>
        <v/>
      </c>
      <c r="L16" s="11" t="n"/>
      <c r="M16" s="11">
        <f>SUM(L4:L16)</f>
        <v/>
      </c>
      <c r="N16" s="11">
        <f>IF(L16=0,"",ROUND(G16/L16,0))</f>
        <v/>
      </c>
      <c r="O16" s="11" t="n"/>
      <c r="P16" s="11">
        <f>SUM(O4:O16)</f>
        <v/>
      </c>
      <c r="Q16" s="11" t="n"/>
      <c r="R16" s="11" t="n"/>
      <c r="S16" s="11" t="n"/>
      <c r="T16" s="11">
        <f>Q16+R16+S16</f>
        <v/>
      </c>
      <c r="U16" s="11">
        <f>SUM(T4:T16)</f>
        <v/>
      </c>
      <c r="V16" s="13">
        <f>IF(SUM(K4:K16)=0,"",U16/SUM(K4:K16))</f>
        <v/>
      </c>
    </row>
    <row r="17" ht="18" customHeight="1">
      <c r="A17" s="14" t="n">
        <v>46309</v>
      </c>
      <c r="B17" s="15" t="inlineStr">
        <is>
          <t>水</t>
        </is>
      </c>
      <c r="C17" s="15" t="n"/>
      <c r="D17" s="16" t="n"/>
      <c r="E17" s="17" t="n"/>
      <c r="F17" s="17">
        <f>SUM(E4:E17)</f>
        <v/>
      </c>
      <c r="G17" s="17" t="n"/>
      <c r="H17" s="17">
        <f>SUM(G4:G17)</f>
        <v/>
      </c>
      <c r="I17" s="18">
        <f>IF(E17=0,"",G17/E17)</f>
        <v/>
      </c>
      <c r="J17" s="17">
        <f>ROUND(G17*0.1,0)</f>
        <v/>
      </c>
      <c r="K17" s="17">
        <f>G17+J17</f>
        <v/>
      </c>
      <c r="L17" s="17" t="n"/>
      <c r="M17" s="17">
        <f>SUM(L4:L17)</f>
        <v/>
      </c>
      <c r="N17" s="17">
        <f>IF(L17=0,"",ROUND(G17/L17,0))</f>
        <v/>
      </c>
      <c r="O17" s="17" t="n"/>
      <c r="P17" s="17">
        <f>SUM(O4:O17)</f>
        <v/>
      </c>
      <c r="Q17" s="17" t="n"/>
      <c r="R17" s="17" t="n"/>
      <c r="S17" s="17" t="n"/>
      <c r="T17" s="17">
        <f>Q17+R17+S17</f>
        <v/>
      </c>
      <c r="U17" s="17">
        <f>SUM(T4:T17)</f>
        <v/>
      </c>
      <c r="V17" s="19">
        <f>IF(SUM(K4:K17)=0,"",U17/SUM(K4:K17))</f>
        <v/>
      </c>
    </row>
    <row r="18" ht="18" customHeight="1">
      <c r="A18" s="8" t="n">
        <v>46310</v>
      </c>
      <c r="B18" s="9" t="inlineStr">
        <is>
          <t>木</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14" t="n">
        <v>46311</v>
      </c>
      <c r="B19" s="15" t="inlineStr">
        <is>
          <t>金</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20" t="n">
        <v>46312</v>
      </c>
      <c r="B20" s="21" t="inlineStr">
        <is>
          <t>土</t>
        </is>
      </c>
      <c r="C20" s="22" t="n"/>
      <c r="D20" s="23" t="n"/>
      <c r="E20" s="24" t="n"/>
      <c r="F20" s="24">
        <f>SUM(E4:E20)</f>
        <v/>
      </c>
      <c r="G20" s="24" t="n"/>
      <c r="H20" s="24">
        <f>SUM(G4:G20)</f>
        <v/>
      </c>
      <c r="I20" s="25">
        <f>IF(E20=0,"",G20/E20)</f>
        <v/>
      </c>
      <c r="J20" s="24">
        <f>ROUND(G20*0.1,0)</f>
        <v/>
      </c>
      <c r="K20" s="24">
        <f>G20+J20</f>
        <v/>
      </c>
      <c r="L20" s="24" t="n"/>
      <c r="M20" s="24">
        <f>SUM(L4:L20)</f>
        <v/>
      </c>
      <c r="N20" s="24">
        <f>IF(L20=0,"",ROUND(G20/L20,0))</f>
        <v/>
      </c>
      <c r="O20" s="24" t="n"/>
      <c r="P20" s="24">
        <f>SUM(O4:O20)</f>
        <v/>
      </c>
      <c r="Q20" s="24" t="n"/>
      <c r="R20" s="24" t="n"/>
      <c r="S20" s="24" t="n"/>
      <c r="T20" s="24">
        <f>Q20+R20+S20</f>
        <v/>
      </c>
      <c r="U20" s="24">
        <f>SUM(T4:T20)</f>
        <v/>
      </c>
      <c r="V20" s="26">
        <f>IF(SUM(K4:K20)=0,"",U20/SUM(K4:K20))</f>
        <v/>
      </c>
    </row>
    <row r="21" ht="18" customHeight="1">
      <c r="A21" s="27" t="n">
        <v>46313</v>
      </c>
      <c r="B21" s="28" t="inlineStr">
        <is>
          <t>日</t>
        </is>
      </c>
      <c r="C21" s="29" t="n"/>
      <c r="D21" s="30" t="n"/>
      <c r="E21" s="31" t="n"/>
      <c r="F21" s="31">
        <f>SUM(E4:E21)</f>
        <v/>
      </c>
      <c r="G21" s="31" t="n"/>
      <c r="H21" s="31">
        <f>SUM(G4:G21)</f>
        <v/>
      </c>
      <c r="I21" s="32">
        <f>IF(E21=0,"",G21/E21)</f>
        <v/>
      </c>
      <c r="J21" s="31">
        <f>ROUND(G21*0.1,0)</f>
        <v/>
      </c>
      <c r="K21" s="31">
        <f>G21+J21</f>
        <v/>
      </c>
      <c r="L21" s="31" t="n"/>
      <c r="M21" s="31">
        <f>SUM(L4:L21)</f>
        <v/>
      </c>
      <c r="N21" s="31">
        <f>IF(L21=0,"",ROUND(G21/L21,0))</f>
        <v/>
      </c>
      <c r="O21" s="31" t="n"/>
      <c r="P21" s="31">
        <f>SUM(O4:O21)</f>
        <v/>
      </c>
      <c r="Q21" s="31" t="n"/>
      <c r="R21" s="31" t="n"/>
      <c r="S21" s="31" t="n"/>
      <c r="T21" s="31">
        <f>Q21+R21+S21</f>
        <v/>
      </c>
      <c r="U21" s="31">
        <f>SUM(T4:T21)</f>
        <v/>
      </c>
      <c r="V21" s="33">
        <f>IF(SUM(K4:K21)=0,"",U21/SUM(K4:K21))</f>
        <v/>
      </c>
    </row>
    <row r="22" ht="18" customHeight="1">
      <c r="A22" s="8" t="n">
        <v>46314</v>
      </c>
      <c r="B22" s="9" t="inlineStr">
        <is>
          <t>月</t>
        </is>
      </c>
      <c r="C22" s="9" t="n"/>
      <c r="D22" s="10" t="n"/>
      <c r="E22" s="11" t="n"/>
      <c r="F22" s="11">
        <f>SUM(E4:E22)</f>
        <v/>
      </c>
      <c r="G22" s="11" t="n"/>
      <c r="H22" s="11">
        <f>SUM(G4:G22)</f>
        <v/>
      </c>
      <c r="I22" s="12">
        <f>IF(E22=0,"",G22/E22)</f>
        <v/>
      </c>
      <c r="J22" s="11">
        <f>ROUND(G22*0.1,0)</f>
        <v/>
      </c>
      <c r="K22" s="11">
        <f>G22+J22</f>
        <v/>
      </c>
      <c r="L22" s="11" t="n"/>
      <c r="M22" s="11">
        <f>SUM(L4:L22)</f>
        <v/>
      </c>
      <c r="N22" s="11">
        <f>IF(L22=0,"",ROUND(G22/L22,0))</f>
        <v/>
      </c>
      <c r="O22" s="11" t="n"/>
      <c r="P22" s="11">
        <f>SUM(O4:O22)</f>
        <v/>
      </c>
      <c r="Q22" s="11" t="n"/>
      <c r="R22" s="11" t="n"/>
      <c r="S22" s="11" t="n"/>
      <c r="T22" s="11">
        <f>Q22+R22+S22</f>
        <v/>
      </c>
      <c r="U22" s="11">
        <f>SUM(T4:T22)</f>
        <v/>
      </c>
      <c r="V22" s="13">
        <f>IF(SUM(K4:K22)=0,"",U22/SUM(K4:K22))</f>
        <v/>
      </c>
    </row>
    <row r="23" ht="18" customHeight="1">
      <c r="A23" s="14" t="n">
        <v>46315</v>
      </c>
      <c r="B23" s="15" t="inlineStr">
        <is>
          <t>火</t>
        </is>
      </c>
      <c r="C23" s="15" t="n"/>
      <c r="D23" s="16" t="n"/>
      <c r="E23" s="17" t="n"/>
      <c r="F23" s="17">
        <f>SUM(E4:E23)</f>
        <v/>
      </c>
      <c r="G23" s="17" t="n"/>
      <c r="H23" s="17">
        <f>SUM(G4:G23)</f>
        <v/>
      </c>
      <c r="I23" s="18">
        <f>IF(E23=0,"",G23/E23)</f>
        <v/>
      </c>
      <c r="J23" s="17">
        <f>ROUND(G23*0.1,0)</f>
        <v/>
      </c>
      <c r="K23" s="17">
        <f>G23+J23</f>
        <v/>
      </c>
      <c r="L23" s="17" t="n"/>
      <c r="M23" s="17">
        <f>SUM(L4:L23)</f>
        <v/>
      </c>
      <c r="N23" s="17">
        <f>IF(L23=0,"",ROUND(G23/L23,0))</f>
        <v/>
      </c>
      <c r="O23" s="17" t="n"/>
      <c r="P23" s="17">
        <f>SUM(O4:O23)</f>
        <v/>
      </c>
      <c r="Q23" s="17" t="n"/>
      <c r="R23" s="17" t="n"/>
      <c r="S23" s="17" t="n"/>
      <c r="T23" s="17">
        <f>Q23+R23+S23</f>
        <v/>
      </c>
      <c r="U23" s="17">
        <f>SUM(T4:T23)</f>
        <v/>
      </c>
      <c r="V23" s="19">
        <f>IF(SUM(K4:K23)=0,"",U23/SUM(K4:K23))</f>
        <v/>
      </c>
    </row>
    <row r="24" ht="18" customHeight="1">
      <c r="A24" s="8" t="n">
        <v>46316</v>
      </c>
      <c r="B24" s="9" t="inlineStr">
        <is>
          <t>水</t>
        </is>
      </c>
      <c r="C24" s="9" t="n"/>
      <c r="D24" s="10" t="n"/>
      <c r="E24" s="11" t="n"/>
      <c r="F24" s="11">
        <f>SUM(E4:E24)</f>
        <v/>
      </c>
      <c r="G24" s="11" t="n"/>
      <c r="H24" s="11">
        <f>SUM(G4:G24)</f>
        <v/>
      </c>
      <c r="I24" s="12">
        <f>IF(E24=0,"",G24/E24)</f>
        <v/>
      </c>
      <c r="J24" s="11">
        <f>ROUND(G24*0.1,0)</f>
        <v/>
      </c>
      <c r="K24" s="11">
        <f>G24+J24</f>
        <v/>
      </c>
      <c r="L24" s="11" t="n"/>
      <c r="M24" s="11">
        <f>SUM(L4:L24)</f>
        <v/>
      </c>
      <c r="N24" s="11">
        <f>IF(L24=0,"",ROUND(G24/L24,0))</f>
        <v/>
      </c>
      <c r="O24" s="11" t="n"/>
      <c r="P24" s="11">
        <f>SUM(O4:O24)</f>
        <v/>
      </c>
      <c r="Q24" s="11" t="n"/>
      <c r="R24" s="11" t="n"/>
      <c r="S24" s="11" t="n"/>
      <c r="T24" s="11">
        <f>Q24+R24+S24</f>
        <v/>
      </c>
      <c r="U24" s="11">
        <f>SUM(T4:T24)</f>
        <v/>
      </c>
      <c r="V24" s="13">
        <f>IF(SUM(K4:K24)=0,"",U24/SUM(K4:K24))</f>
        <v/>
      </c>
    </row>
    <row r="25" ht="18" customHeight="1">
      <c r="A25" s="14" t="n">
        <v>46317</v>
      </c>
      <c r="B25" s="15" t="inlineStr">
        <is>
          <t>木</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8" t="n">
        <v>46318</v>
      </c>
      <c r="B26" s="9" t="inlineStr">
        <is>
          <t>金</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20" t="n">
        <v>46319</v>
      </c>
      <c r="B27" s="21" t="inlineStr">
        <is>
          <t>土</t>
        </is>
      </c>
      <c r="C27" s="22" t="n"/>
      <c r="D27" s="23" t="n"/>
      <c r="E27" s="24" t="n"/>
      <c r="F27" s="24">
        <f>SUM(E4:E27)</f>
        <v/>
      </c>
      <c r="G27" s="24" t="n"/>
      <c r="H27" s="24">
        <f>SUM(G4:G27)</f>
        <v/>
      </c>
      <c r="I27" s="25">
        <f>IF(E27=0,"",G27/E27)</f>
        <v/>
      </c>
      <c r="J27" s="24">
        <f>ROUND(G27*0.1,0)</f>
        <v/>
      </c>
      <c r="K27" s="24">
        <f>G27+J27</f>
        <v/>
      </c>
      <c r="L27" s="24" t="n"/>
      <c r="M27" s="24">
        <f>SUM(L4:L27)</f>
        <v/>
      </c>
      <c r="N27" s="24">
        <f>IF(L27=0,"",ROUND(G27/L27,0))</f>
        <v/>
      </c>
      <c r="O27" s="24" t="n"/>
      <c r="P27" s="24">
        <f>SUM(O4:O27)</f>
        <v/>
      </c>
      <c r="Q27" s="24" t="n"/>
      <c r="R27" s="24" t="n"/>
      <c r="S27" s="24" t="n"/>
      <c r="T27" s="24">
        <f>Q27+R27+S27</f>
        <v/>
      </c>
      <c r="U27" s="24">
        <f>SUM(T4:T27)</f>
        <v/>
      </c>
      <c r="V27" s="26">
        <f>IF(SUM(K4:K27)=0,"",U27/SUM(K4:K27))</f>
        <v/>
      </c>
    </row>
    <row r="28" ht="18" customHeight="1">
      <c r="A28" s="27" t="n">
        <v>46320</v>
      </c>
      <c r="B28" s="28" t="inlineStr">
        <is>
          <t>日</t>
        </is>
      </c>
      <c r="C28" s="29" t="n"/>
      <c r="D28" s="30" t="n"/>
      <c r="E28" s="31" t="n"/>
      <c r="F28" s="31">
        <f>SUM(E4:E28)</f>
        <v/>
      </c>
      <c r="G28" s="31" t="n"/>
      <c r="H28" s="31">
        <f>SUM(G4:G28)</f>
        <v/>
      </c>
      <c r="I28" s="32">
        <f>IF(E28=0,"",G28/E28)</f>
        <v/>
      </c>
      <c r="J28" s="31">
        <f>ROUND(G28*0.1,0)</f>
        <v/>
      </c>
      <c r="K28" s="31">
        <f>G28+J28</f>
        <v/>
      </c>
      <c r="L28" s="31" t="n"/>
      <c r="M28" s="31">
        <f>SUM(L4:L28)</f>
        <v/>
      </c>
      <c r="N28" s="31">
        <f>IF(L28=0,"",ROUND(G28/L28,0))</f>
        <v/>
      </c>
      <c r="O28" s="31" t="n"/>
      <c r="P28" s="31">
        <f>SUM(O4:O28)</f>
        <v/>
      </c>
      <c r="Q28" s="31" t="n"/>
      <c r="R28" s="31" t="n"/>
      <c r="S28" s="31" t="n"/>
      <c r="T28" s="31">
        <f>Q28+R28+S28</f>
        <v/>
      </c>
      <c r="U28" s="31">
        <f>SUM(T4:T28)</f>
        <v/>
      </c>
      <c r="V28" s="33">
        <f>IF(SUM(K4:K28)=0,"",U28/SUM(K4:K28))</f>
        <v/>
      </c>
    </row>
    <row r="29" ht="18" customHeight="1">
      <c r="A29" s="14" t="n">
        <v>46321</v>
      </c>
      <c r="B29" s="15" t="inlineStr">
        <is>
          <t>月</t>
        </is>
      </c>
      <c r="C29" s="15" t="n"/>
      <c r="D29" s="16" t="n"/>
      <c r="E29" s="17" t="n"/>
      <c r="F29" s="17">
        <f>SUM(E4:E29)</f>
        <v/>
      </c>
      <c r="G29" s="17" t="n"/>
      <c r="H29" s="17">
        <f>SUM(G4:G29)</f>
        <v/>
      </c>
      <c r="I29" s="18">
        <f>IF(E29=0,"",G29/E29)</f>
        <v/>
      </c>
      <c r="J29" s="17">
        <f>ROUND(G29*0.1,0)</f>
        <v/>
      </c>
      <c r="K29" s="17">
        <f>G29+J29</f>
        <v/>
      </c>
      <c r="L29" s="17" t="n"/>
      <c r="M29" s="17">
        <f>SUM(L4:L29)</f>
        <v/>
      </c>
      <c r="N29" s="17">
        <f>IF(L29=0,"",ROUND(G29/L29,0))</f>
        <v/>
      </c>
      <c r="O29" s="17" t="n"/>
      <c r="P29" s="17">
        <f>SUM(O4:O29)</f>
        <v/>
      </c>
      <c r="Q29" s="17" t="n"/>
      <c r="R29" s="17" t="n"/>
      <c r="S29" s="17" t="n"/>
      <c r="T29" s="17">
        <f>Q29+R29+S29</f>
        <v/>
      </c>
      <c r="U29" s="17">
        <f>SUM(T4:T29)</f>
        <v/>
      </c>
      <c r="V29" s="19">
        <f>IF(SUM(K4:K29)=0,"",U29/SUM(K4:K29))</f>
        <v/>
      </c>
    </row>
    <row r="30" ht="18" customHeight="1">
      <c r="A30" s="8" t="n">
        <v>46322</v>
      </c>
      <c r="B30" s="9" t="inlineStr">
        <is>
          <t>火</t>
        </is>
      </c>
      <c r="C30" s="9" t="n"/>
      <c r="D30" s="10" t="n"/>
      <c r="E30" s="11" t="n"/>
      <c r="F30" s="11">
        <f>SUM(E4:E30)</f>
        <v/>
      </c>
      <c r="G30" s="11" t="n"/>
      <c r="H30" s="11">
        <f>SUM(G4:G30)</f>
        <v/>
      </c>
      <c r="I30" s="12">
        <f>IF(E30=0,"",G30/E30)</f>
        <v/>
      </c>
      <c r="J30" s="11">
        <f>ROUND(G30*0.1,0)</f>
        <v/>
      </c>
      <c r="K30" s="11">
        <f>G30+J30</f>
        <v/>
      </c>
      <c r="L30" s="11" t="n"/>
      <c r="M30" s="11">
        <f>SUM(L4:L30)</f>
        <v/>
      </c>
      <c r="N30" s="11">
        <f>IF(L30=0,"",ROUND(G30/L30,0))</f>
        <v/>
      </c>
      <c r="O30" s="11" t="n"/>
      <c r="P30" s="11">
        <f>SUM(O4:O30)</f>
        <v/>
      </c>
      <c r="Q30" s="11" t="n"/>
      <c r="R30" s="11" t="n"/>
      <c r="S30" s="11" t="n"/>
      <c r="T30" s="11">
        <f>Q30+R30+S30</f>
        <v/>
      </c>
      <c r="U30" s="11">
        <f>SUM(T4:T30)</f>
        <v/>
      </c>
      <c r="V30" s="13">
        <f>IF(SUM(K4:K30)=0,"",U30/SUM(K4:K30))</f>
        <v/>
      </c>
    </row>
    <row r="31" ht="18" customHeight="1">
      <c r="A31" s="14" t="n">
        <v>46323</v>
      </c>
      <c r="B31" s="15" t="inlineStr">
        <is>
          <t>水</t>
        </is>
      </c>
      <c r="C31" s="15" t="n"/>
      <c r="D31" s="16" t="n"/>
      <c r="E31" s="17" t="n"/>
      <c r="F31" s="17">
        <f>SUM(E4:E31)</f>
        <v/>
      </c>
      <c r="G31" s="17" t="n"/>
      <c r="H31" s="17">
        <f>SUM(G4:G31)</f>
        <v/>
      </c>
      <c r="I31" s="18">
        <f>IF(E31=0,"",G31/E31)</f>
        <v/>
      </c>
      <c r="J31" s="17">
        <f>ROUND(G31*0.1,0)</f>
        <v/>
      </c>
      <c r="K31" s="17">
        <f>G31+J31</f>
        <v/>
      </c>
      <c r="L31" s="17" t="n"/>
      <c r="M31" s="17">
        <f>SUM(L4:L31)</f>
        <v/>
      </c>
      <c r="N31" s="17">
        <f>IF(L31=0,"",ROUND(G31/L31,0))</f>
        <v/>
      </c>
      <c r="O31" s="17" t="n"/>
      <c r="P31" s="17">
        <f>SUM(O4:O31)</f>
        <v/>
      </c>
      <c r="Q31" s="17" t="n"/>
      <c r="R31" s="17" t="n"/>
      <c r="S31" s="17" t="n"/>
      <c r="T31" s="17">
        <f>Q31+R31+S31</f>
        <v/>
      </c>
      <c r="U31" s="17">
        <f>SUM(T4:T31)</f>
        <v/>
      </c>
      <c r="V31" s="19">
        <f>IF(SUM(K4:K31)=0,"",U31/SUM(K4:K31))</f>
        <v/>
      </c>
    </row>
    <row r="32" ht="18" customHeight="1">
      <c r="A32" s="8" t="n">
        <v>46324</v>
      </c>
      <c r="B32" s="9" t="inlineStr">
        <is>
          <t>木</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14" t="n">
        <v>46325</v>
      </c>
      <c r="B33" s="15" t="inlineStr">
        <is>
          <t>金</t>
        </is>
      </c>
      <c r="C33" s="15" t="n"/>
      <c r="D33" s="16" t="n"/>
      <c r="E33" s="17" t="n"/>
      <c r="F33" s="17">
        <f>SUM(E4:E33)</f>
        <v/>
      </c>
      <c r="G33" s="17" t="n"/>
      <c r="H33" s="17">
        <f>SUM(G4:G33)</f>
        <v/>
      </c>
      <c r="I33" s="18">
        <f>IF(E33=0,"",G33/E33)</f>
        <v/>
      </c>
      <c r="J33" s="17">
        <f>ROUND(G33*0.1,0)</f>
        <v/>
      </c>
      <c r="K33" s="17">
        <f>G33+J33</f>
        <v/>
      </c>
      <c r="L33" s="17" t="n"/>
      <c r="M33" s="17">
        <f>SUM(L4:L33)</f>
        <v/>
      </c>
      <c r="N33" s="17">
        <f>IF(L33=0,"",ROUND(G33/L33,0))</f>
        <v/>
      </c>
      <c r="O33" s="17" t="n"/>
      <c r="P33" s="17">
        <f>SUM(O4:O33)</f>
        <v/>
      </c>
      <c r="Q33" s="17" t="n"/>
      <c r="R33" s="17" t="n"/>
      <c r="S33" s="17" t="n"/>
      <c r="T33" s="17">
        <f>Q33+R33+S33</f>
        <v/>
      </c>
      <c r="U33" s="17">
        <f>SUM(T4:T33)</f>
        <v/>
      </c>
      <c r="V33" s="19">
        <f>IF(SUM(K4:K33)=0,"",U33/SUM(K4:K33))</f>
        <v/>
      </c>
    </row>
    <row r="34" ht="18" customHeight="1">
      <c r="A34" s="20" t="n">
        <v>46326</v>
      </c>
      <c r="B34" s="21" t="inlineStr">
        <is>
          <t>土</t>
        </is>
      </c>
      <c r="C34" s="22" t="n"/>
      <c r="D34" s="23" t="n"/>
      <c r="E34" s="24" t="n"/>
      <c r="F34" s="24">
        <f>SUM(E4:E34)</f>
        <v/>
      </c>
      <c r="G34" s="24" t="n"/>
      <c r="H34" s="24">
        <f>SUM(G4:G34)</f>
        <v/>
      </c>
      <c r="I34" s="25">
        <f>IF(E34=0,"",G34/E34)</f>
        <v/>
      </c>
      <c r="J34" s="24">
        <f>ROUND(G34*0.1,0)</f>
        <v/>
      </c>
      <c r="K34" s="24">
        <f>G34+J34</f>
        <v/>
      </c>
      <c r="L34" s="24" t="n"/>
      <c r="M34" s="24">
        <f>SUM(L4:L34)</f>
        <v/>
      </c>
      <c r="N34" s="24">
        <f>IF(L34=0,"",ROUND(G34/L34,0))</f>
        <v/>
      </c>
      <c r="O34" s="24" t="n"/>
      <c r="P34" s="24">
        <f>SUM(O4:O34)</f>
        <v/>
      </c>
      <c r="Q34" s="24" t="n"/>
      <c r="R34" s="24" t="n"/>
      <c r="S34" s="24" t="n"/>
      <c r="T34" s="24">
        <f>Q34+R34+S34</f>
        <v/>
      </c>
      <c r="U34" s="24">
        <f>SUM(T4:T34)</f>
        <v/>
      </c>
      <c r="V34" s="26">
        <f>IF(SUM(K4:K34)=0,"",U34/SUM(K4:K34))</f>
        <v/>
      </c>
    </row>
    <row r="35" ht="22" customHeight="1">
      <c r="A35" s="34" t="inlineStr">
        <is>
          <t>月　合　計</t>
        </is>
      </c>
      <c r="E35" s="35">
        <f>SUM(E4:E34)</f>
        <v/>
      </c>
      <c r="F35" s="35">
        <f>F34</f>
        <v/>
      </c>
      <c r="G35" s="35">
        <f>SUM(G4:G34)</f>
        <v/>
      </c>
      <c r="H35" s="35">
        <f>H34</f>
        <v/>
      </c>
      <c r="I35" s="36">
        <f>IF(E35=0,"",G35/E35)</f>
        <v/>
      </c>
      <c r="J35" s="35">
        <f>ROUND(G35*0.1,0)</f>
        <v/>
      </c>
      <c r="K35" s="35">
        <f>G35+J35</f>
        <v/>
      </c>
      <c r="L35" s="35">
        <f>SUM(L4:L34)</f>
        <v/>
      </c>
      <c r="M35" s="35">
        <f>M34</f>
        <v/>
      </c>
      <c r="N35" s="35">
        <f>IF(L35=0,"",ROUND(G35/L35,0))</f>
        <v/>
      </c>
      <c r="O35" s="35">
        <f>SUM(O4:O34)</f>
        <v/>
      </c>
      <c r="P35" s="35">
        <f>P34</f>
        <v/>
      </c>
      <c r="Q35" s="35">
        <f>SUM(Q4:Q34)</f>
        <v/>
      </c>
      <c r="R35" s="35">
        <f>SUM(R4:R34)</f>
        <v/>
      </c>
      <c r="S35" s="35">
        <f>SUM(S4:S34)</f>
        <v/>
      </c>
      <c r="T35" s="35">
        <f>SUM(T4:T34)</f>
        <v/>
      </c>
      <c r="U35" s="35">
        <f>U34</f>
        <v/>
      </c>
      <c r="V35" s="37">
        <f>IF(K35=0,"",T35/K35)</f>
        <v/>
      </c>
    </row>
    <row r="37">
      <c r="A37" s="38" t="inlineStr">
        <is>
          <t>【凡例】</t>
        </is>
      </c>
    </row>
    <row r="38">
      <c r="A38" s="39" t="inlineStr">
        <is>
          <t>■ 青背景：土曜日</t>
        </is>
      </c>
    </row>
    <row r="39">
      <c r="A39" s="40" t="inlineStr">
        <is>
          <t>■ 赤背景：日曜日</t>
        </is>
      </c>
    </row>
    <row r="40">
      <c r="A40" s="41" t="inlineStr">
        <is>
          <t>■ 緑ヘッダー：従業員入力欄</t>
        </is>
      </c>
    </row>
    <row r="41">
      <c r="A41" s="42" t="inlineStr">
        <is>
          <t>■ グレーヘッダー：自動計算欄（入力不要）</t>
        </is>
      </c>
    </row>
  </sheetData>
  <mergeCells count="7">
    <mergeCell ref="E2:J2"/>
    <mergeCell ref="Q2:U2"/>
    <mergeCell ref="A35:D35"/>
    <mergeCell ref="A1:V1"/>
    <mergeCell ref="L2:O2"/>
    <mergeCell ref="B2:B3"/>
    <mergeCell ref="A2:A3"/>
  </mergeCells>
  <dataValidations count="3">
    <dataValidation sqref="C4 C5 C6 C7 C8 C9 C10 C11 C12 C13 C14 C15 C16 C17 C18 C19 C20 C21 C22 C23 C24 C25 C26 C27 C28 C29 C30 C31 C32 C33 C34"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D34"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E34 G4 G5 G6 G7 G8 G9 G10 G11 G12 G13 G14 G15 G16 G17 G18 G19 G20 G21 G22 G23 G24 G25 G26 G27 G28 G29 G30 G31 G32 G33 G34 L4 L5 L6 L7 L8 L9 L10 L11 L12 L13 L14 L15 L16 L17 L18 L19 L20 L21 L22 L23 L24 L25 L26 L27 L28 L29 L30 L31 L32 L33 L34 O4 O5 O6 O7 O8 O9 O10 O11 O12 O13 O14 O15 O16 O17 O18 O19 O20 O21 O22 O23 O24 O25 O26 O27 O28 O29 O30 O31 O32 O33 O34 Q4 Q5 Q6 Q7 Q8 Q9 Q10 Q11 Q12 Q13 Q14 Q15 Q16 Q17 Q18 Q19 Q20 Q21 Q22 Q23 Q24 Q25 Q26 Q27 Q28 Q29 Q30 Q31 Q32 Q33 Q34 R4 R5 R6 R7 R8 R9 R10 R11 R12 R13 R14 R15 R16 R17 R18 R19 R20 R21 R22 R23 R24 R25 R26 R27 R28 R29 R30 R31 R32 R33 R34 S4 S5 S6 S7 S8 S9 S10 S11 S12 S13 S14 S15 S16 S17 S18 S19 S20 S21 S22 S23 S24 S25 S26 S27 S28 S29 S30 S31 S32 S33 S34"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sheetPr>
  <dimension ref="A1:X40"/>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11月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27" t="n">
        <v>46327</v>
      </c>
      <c r="B4" s="28" t="inlineStr">
        <is>
          <t>日</t>
        </is>
      </c>
      <c r="C4" s="29" t="n"/>
      <c r="D4" s="30" t="n"/>
      <c r="E4" s="31" t="n"/>
      <c r="F4" s="31">
        <f>SUM(E4:E4)</f>
        <v/>
      </c>
      <c r="G4" s="31" t="n"/>
      <c r="H4" s="31">
        <f>SUM(G4:G4)</f>
        <v/>
      </c>
      <c r="I4" s="32">
        <f>IF(E4=0,"",G4/E4)</f>
        <v/>
      </c>
      <c r="J4" s="31">
        <f>ROUND(G4*0.1,0)</f>
        <v/>
      </c>
      <c r="K4" s="31">
        <f>G4+J4</f>
        <v/>
      </c>
      <c r="L4" s="31" t="n"/>
      <c r="M4" s="31">
        <f>SUM(L4:L4)</f>
        <v/>
      </c>
      <c r="N4" s="31">
        <f>IF(L4=0,"",ROUND(G4/L4,0))</f>
        <v/>
      </c>
      <c r="O4" s="31" t="n"/>
      <c r="P4" s="31">
        <f>SUM(O4:O4)</f>
        <v/>
      </c>
      <c r="Q4" s="31" t="n"/>
      <c r="R4" s="31" t="n"/>
      <c r="S4" s="31" t="n"/>
      <c r="T4" s="31">
        <f>Q4+R4+S4</f>
        <v/>
      </c>
      <c r="U4" s="31">
        <f>SUM(T4:T4)</f>
        <v/>
      </c>
      <c r="V4" s="33">
        <f>IF(SUM(K4:K4)=0,"",U4/SUM(K4:K4))</f>
        <v/>
      </c>
    </row>
    <row r="5" ht="18" customHeight="1">
      <c r="A5" s="14" t="n">
        <v>46328</v>
      </c>
      <c r="B5" s="15" t="inlineStr">
        <is>
          <t>月</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8" t="n">
        <v>46329</v>
      </c>
      <c r="B6" s="9" t="inlineStr">
        <is>
          <t>火</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14" t="n">
        <v>46330</v>
      </c>
      <c r="B7" s="15" t="inlineStr">
        <is>
          <t>水</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8" t="n">
        <v>46331</v>
      </c>
      <c r="B8" s="9" t="inlineStr">
        <is>
          <t>木</t>
        </is>
      </c>
      <c r="C8" s="9" t="n"/>
      <c r="D8" s="10" t="n"/>
      <c r="E8" s="11" t="n"/>
      <c r="F8" s="11">
        <f>SUM(E4:E8)</f>
        <v/>
      </c>
      <c r="G8" s="11" t="n"/>
      <c r="H8" s="11">
        <f>SUM(G4:G8)</f>
        <v/>
      </c>
      <c r="I8" s="12">
        <f>IF(E8=0,"",G8/E8)</f>
        <v/>
      </c>
      <c r="J8" s="11">
        <f>ROUND(G8*0.1,0)</f>
        <v/>
      </c>
      <c r="K8" s="11">
        <f>G8+J8</f>
        <v/>
      </c>
      <c r="L8" s="11" t="n"/>
      <c r="M8" s="11">
        <f>SUM(L4:L8)</f>
        <v/>
      </c>
      <c r="N8" s="11">
        <f>IF(L8=0,"",ROUND(G8/L8,0))</f>
        <v/>
      </c>
      <c r="O8" s="11" t="n"/>
      <c r="P8" s="11">
        <f>SUM(O4:O8)</f>
        <v/>
      </c>
      <c r="Q8" s="11" t="n"/>
      <c r="R8" s="11" t="n"/>
      <c r="S8" s="11" t="n"/>
      <c r="T8" s="11">
        <f>Q8+R8+S8</f>
        <v/>
      </c>
      <c r="U8" s="11">
        <f>SUM(T4:T8)</f>
        <v/>
      </c>
      <c r="V8" s="13">
        <f>IF(SUM(K4:K8)=0,"",U8/SUM(K4:K8))</f>
        <v/>
      </c>
    </row>
    <row r="9" ht="18" customHeight="1">
      <c r="A9" s="14" t="n">
        <v>46332</v>
      </c>
      <c r="B9" s="15" t="inlineStr">
        <is>
          <t>金</t>
        </is>
      </c>
      <c r="C9" s="15" t="n"/>
      <c r="D9" s="16" t="n"/>
      <c r="E9" s="17" t="n"/>
      <c r="F9" s="17">
        <f>SUM(E4:E9)</f>
        <v/>
      </c>
      <c r="G9" s="17" t="n"/>
      <c r="H9" s="17">
        <f>SUM(G4:G9)</f>
        <v/>
      </c>
      <c r="I9" s="18">
        <f>IF(E9=0,"",G9/E9)</f>
        <v/>
      </c>
      <c r="J9" s="17">
        <f>ROUND(G9*0.1,0)</f>
        <v/>
      </c>
      <c r="K9" s="17">
        <f>G9+J9</f>
        <v/>
      </c>
      <c r="L9" s="17" t="n"/>
      <c r="M9" s="17">
        <f>SUM(L4:L9)</f>
        <v/>
      </c>
      <c r="N9" s="17">
        <f>IF(L9=0,"",ROUND(G9/L9,0))</f>
        <v/>
      </c>
      <c r="O9" s="17" t="n"/>
      <c r="P9" s="17">
        <f>SUM(O4:O9)</f>
        <v/>
      </c>
      <c r="Q9" s="17" t="n"/>
      <c r="R9" s="17" t="n"/>
      <c r="S9" s="17" t="n"/>
      <c r="T9" s="17">
        <f>Q9+R9+S9</f>
        <v/>
      </c>
      <c r="U9" s="17">
        <f>SUM(T4:T9)</f>
        <v/>
      </c>
      <c r="V9" s="19">
        <f>IF(SUM(K4:K9)=0,"",U9/SUM(K4:K9))</f>
        <v/>
      </c>
    </row>
    <row r="10" ht="18" customHeight="1">
      <c r="A10" s="20" t="n">
        <v>46333</v>
      </c>
      <c r="B10" s="21" t="inlineStr">
        <is>
          <t>土</t>
        </is>
      </c>
      <c r="C10" s="22" t="n"/>
      <c r="D10" s="23" t="n"/>
      <c r="E10" s="24" t="n"/>
      <c r="F10" s="24">
        <f>SUM(E4:E10)</f>
        <v/>
      </c>
      <c r="G10" s="24" t="n"/>
      <c r="H10" s="24">
        <f>SUM(G4:G10)</f>
        <v/>
      </c>
      <c r="I10" s="25">
        <f>IF(E10=0,"",G10/E10)</f>
        <v/>
      </c>
      <c r="J10" s="24">
        <f>ROUND(G10*0.1,0)</f>
        <v/>
      </c>
      <c r="K10" s="24">
        <f>G10+J10</f>
        <v/>
      </c>
      <c r="L10" s="24" t="n"/>
      <c r="M10" s="24">
        <f>SUM(L4:L10)</f>
        <v/>
      </c>
      <c r="N10" s="24">
        <f>IF(L10=0,"",ROUND(G10/L10,0))</f>
        <v/>
      </c>
      <c r="O10" s="24" t="n"/>
      <c r="P10" s="24">
        <f>SUM(O4:O10)</f>
        <v/>
      </c>
      <c r="Q10" s="24" t="n"/>
      <c r="R10" s="24" t="n"/>
      <c r="S10" s="24" t="n"/>
      <c r="T10" s="24">
        <f>Q10+R10+S10</f>
        <v/>
      </c>
      <c r="U10" s="24">
        <f>SUM(T4:T10)</f>
        <v/>
      </c>
      <c r="V10" s="26">
        <f>IF(SUM(K4:K10)=0,"",U10/SUM(K4:K10))</f>
        <v/>
      </c>
    </row>
    <row r="11" ht="18" customHeight="1">
      <c r="A11" s="27" t="n">
        <v>46334</v>
      </c>
      <c r="B11" s="28" t="inlineStr">
        <is>
          <t>日</t>
        </is>
      </c>
      <c r="C11" s="29" t="n"/>
      <c r="D11" s="30" t="n"/>
      <c r="E11" s="31" t="n"/>
      <c r="F11" s="31">
        <f>SUM(E4:E11)</f>
        <v/>
      </c>
      <c r="G11" s="31" t="n"/>
      <c r="H11" s="31">
        <f>SUM(G4:G11)</f>
        <v/>
      </c>
      <c r="I11" s="32">
        <f>IF(E11=0,"",G11/E11)</f>
        <v/>
      </c>
      <c r="J11" s="31">
        <f>ROUND(G11*0.1,0)</f>
        <v/>
      </c>
      <c r="K11" s="31">
        <f>G11+J11</f>
        <v/>
      </c>
      <c r="L11" s="31" t="n"/>
      <c r="M11" s="31">
        <f>SUM(L4:L11)</f>
        <v/>
      </c>
      <c r="N11" s="31">
        <f>IF(L11=0,"",ROUND(G11/L11,0))</f>
        <v/>
      </c>
      <c r="O11" s="31" t="n"/>
      <c r="P11" s="31">
        <f>SUM(O4:O11)</f>
        <v/>
      </c>
      <c r="Q11" s="31" t="n"/>
      <c r="R11" s="31" t="n"/>
      <c r="S11" s="31" t="n"/>
      <c r="T11" s="31">
        <f>Q11+R11+S11</f>
        <v/>
      </c>
      <c r="U11" s="31">
        <f>SUM(T4:T11)</f>
        <v/>
      </c>
      <c r="V11" s="33">
        <f>IF(SUM(K4:K11)=0,"",U11/SUM(K4:K11))</f>
        <v/>
      </c>
    </row>
    <row r="12" ht="18" customHeight="1">
      <c r="A12" s="8" t="n">
        <v>46335</v>
      </c>
      <c r="B12" s="9" t="inlineStr">
        <is>
          <t>月</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14" t="n">
        <v>46336</v>
      </c>
      <c r="B13" s="15" t="inlineStr">
        <is>
          <t>火</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8" t="n">
        <v>46337</v>
      </c>
      <c r="B14" s="9" t="inlineStr">
        <is>
          <t>水</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14" t="n">
        <v>46338</v>
      </c>
      <c r="B15" s="15" t="inlineStr">
        <is>
          <t>木</t>
        </is>
      </c>
      <c r="C15" s="15" t="n"/>
      <c r="D15" s="16" t="n"/>
      <c r="E15" s="17" t="n"/>
      <c r="F15" s="17">
        <f>SUM(E4:E15)</f>
        <v/>
      </c>
      <c r="G15" s="17" t="n"/>
      <c r="H15" s="17">
        <f>SUM(G4:G15)</f>
        <v/>
      </c>
      <c r="I15" s="18">
        <f>IF(E15=0,"",G15/E15)</f>
        <v/>
      </c>
      <c r="J15" s="17">
        <f>ROUND(G15*0.1,0)</f>
        <v/>
      </c>
      <c r="K15" s="17">
        <f>G15+J15</f>
        <v/>
      </c>
      <c r="L15" s="17" t="n"/>
      <c r="M15" s="17">
        <f>SUM(L4:L15)</f>
        <v/>
      </c>
      <c r="N15" s="17">
        <f>IF(L15=0,"",ROUND(G15/L15,0))</f>
        <v/>
      </c>
      <c r="O15" s="17" t="n"/>
      <c r="P15" s="17">
        <f>SUM(O4:O15)</f>
        <v/>
      </c>
      <c r="Q15" s="17" t="n"/>
      <c r="R15" s="17" t="n"/>
      <c r="S15" s="17" t="n"/>
      <c r="T15" s="17">
        <f>Q15+R15+S15</f>
        <v/>
      </c>
      <c r="U15" s="17">
        <f>SUM(T4:T15)</f>
        <v/>
      </c>
      <c r="V15" s="19">
        <f>IF(SUM(K4:K15)=0,"",U15/SUM(K4:K15))</f>
        <v/>
      </c>
    </row>
    <row r="16" ht="18" customHeight="1">
      <c r="A16" s="8" t="n">
        <v>46339</v>
      </c>
      <c r="B16" s="9" t="inlineStr">
        <is>
          <t>金</t>
        </is>
      </c>
      <c r="C16" s="9" t="n"/>
      <c r="D16" s="10" t="n"/>
      <c r="E16" s="11" t="n"/>
      <c r="F16" s="11">
        <f>SUM(E4:E16)</f>
        <v/>
      </c>
      <c r="G16" s="11" t="n"/>
      <c r="H16" s="11">
        <f>SUM(G4:G16)</f>
        <v/>
      </c>
      <c r="I16" s="12">
        <f>IF(E16=0,"",G16/E16)</f>
        <v/>
      </c>
      <c r="J16" s="11">
        <f>ROUND(G16*0.1,0)</f>
        <v/>
      </c>
      <c r="K16" s="11">
        <f>G16+J16</f>
        <v/>
      </c>
      <c r="L16" s="11" t="n"/>
      <c r="M16" s="11">
        <f>SUM(L4:L16)</f>
        <v/>
      </c>
      <c r="N16" s="11">
        <f>IF(L16=0,"",ROUND(G16/L16,0))</f>
        <v/>
      </c>
      <c r="O16" s="11" t="n"/>
      <c r="P16" s="11">
        <f>SUM(O4:O16)</f>
        <v/>
      </c>
      <c r="Q16" s="11" t="n"/>
      <c r="R16" s="11" t="n"/>
      <c r="S16" s="11" t="n"/>
      <c r="T16" s="11">
        <f>Q16+R16+S16</f>
        <v/>
      </c>
      <c r="U16" s="11">
        <f>SUM(T4:T16)</f>
        <v/>
      </c>
      <c r="V16" s="13">
        <f>IF(SUM(K4:K16)=0,"",U16/SUM(K4:K16))</f>
        <v/>
      </c>
    </row>
    <row r="17" ht="18" customHeight="1">
      <c r="A17" s="20" t="n">
        <v>46340</v>
      </c>
      <c r="B17" s="21" t="inlineStr">
        <is>
          <t>土</t>
        </is>
      </c>
      <c r="C17" s="22" t="n"/>
      <c r="D17" s="23" t="n"/>
      <c r="E17" s="24" t="n"/>
      <c r="F17" s="24">
        <f>SUM(E4:E17)</f>
        <v/>
      </c>
      <c r="G17" s="24" t="n"/>
      <c r="H17" s="24">
        <f>SUM(G4:G17)</f>
        <v/>
      </c>
      <c r="I17" s="25">
        <f>IF(E17=0,"",G17/E17)</f>
        <v/>
      </c>
      <c r="J17" s="24">
        <f>ROUND(G17*0.1,0)</f>
        <v/>
      </c>
      <c r="K17" s="24">
        <f>G17+J17</f>
        <v/>
      </c>
      <c r="L17" s="24" t="n"/>
      <c r="M17" s="24">
        <f>SUM(L4:L17)</f>
        <v/>
      </c>
      <c r="N17" s="24">
        <f>IF(L17=0,"",ROUND(G17/L17,0))</f>
        <v/>
      </c>
      <c r="O17" s="24" t="n"/>
      <c r="P17" s="24">
        <f>SUM(O4:O17)</f>
        <v/>
      </c>
      <c r="Q17" s="24" t="n"/>
      <c r="R17" s="24" t="n"/>
      <c r="S17" s="24" t="n"/>
      <c r="T17" s="24">
        <f>Q17+R17+S17</f>
        <v/>
      </c>
      <c r="U17" s="24">
        <f>SUM(T4:T17)</f>
        <v/>
      </c>
      <c r="V17" s="26">
        <f>IF(SUM(K4:K17)=0,"",U17/SUM(K4:K17))</f>
        <v/>
      </c>
    </row>
    <row r="18" ht="18" customHeight="1">
      <c r="A18" s="27" t="n">
        <v>46341</v>
      </c>
      <c r="B18" s="28" t="inlineStr">
        <is>
          <t>日</t>
        </is>
      </c>
      <c r="C18" s="29" t="n"/>
      <c r="D18" s="30" t="n"/>
      <c r="E18" s="31" t="n"/>
      <c r="F18" s="31">
        <f>SUM(E4:E18)</f>
        <v/>
      </c>
      <c r="G18" s="31" t="n"/>
      <c r="H18" s="31">
        <f>SUM(G4:G18)</f>
        <v/>
      </c>
      <c r="I18" s="32">
        <f>IF(E18=0,"",G18/E18)</f>
        <v/>
      </c>
      <c r="J18" s="31">
        <f>ROUND(G18*0.1,0)</f>
        <v/>
      </c>
      <c r="K18" s="31">
        <f>G18+J18</f>
        <v/>
      </c>
      <c r="L18" s="31" t="n"/>
      <c r="M18" s="31">
        <f>SUM(L4:L18)</f>
        <v/>
      </c>
      <c r="N18" s="31">
        <f>IF(L18=0,"",ROUND(G18/L18,0))</f>
        <v/>
      </c>
      <c r="O18" s="31" t="n"/>
      <c r="P18" s="31">
        <f>SUM(O4:O18)</f>
        <v/>
      </c>
      <c r="Q18" s="31" t="n"/>
      <c r="R18" s="31" t="n"/>
      <c r="S18" s="31" t="n"/>
      <c r="T18" s="31">
        <f>Q18+R18+S18</f>
        <v/>
      </c>
      <c r="U18" s="31">
        <f>SUM(T4:T18)</f>
        <v/>
      </c>
      <c r="V18" s="33">
        <f>IF(SUM(K4:K18)=0,"",U18/SUM(K4:K18))</f>
        <v/>
      </c>
    </row>
    <row r="19" ht="18" customHeight="1">
      <c r="A19" s="14" t="n">
        <v>46342</v>
      </c>
      <c r="B19" s="15" t="inlineStr">
        <is>
          <t>月</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8" t="n">
        <v>46343</v>
      </c>
      <c r="B20" s="9" t="inlineStr">
        <is>
          <t>火</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14" t="n">
        <v>46344</v>
      </c>
      <c r="B21" s="15" t="inlineStr">
        <is>
          <t>水</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8" t="n">
        <v>46345</v>
      </c>
      <c r="B22" s="9" t="inlineStr">
        <is>
          <t>木</t>
        </is>
      </c>
      <c r="C22" s="9" t="n"/>
      <c r="D22" s="10" t="n"/>
      <c r="E22" s="11" t="n"/>
      <c r="F22" s="11">
        <f>SUM(E4:E22)</f>
        <v/>
      </c>
      <c r="G22" s="11" t="n"/>
      <c r="H22" s="11">
        <f>SUM(G4:G22)</f>
        <v/>
      </c>
      <c r="I22" s="12">
        <f>IF(E22=0,"",G22/E22)</f>
        <v/>
      </c>
      <c r="J22" s="11">
        <f>ROUND(G22*0.1,0)</f>
        <v/>
      </c>
      <c r="K22" s="11">
        <f>G22+J22</f>
        <v/>
      </c>
      <c r="L22" s="11" t="n"/>
      <c r="M22" s="11">
        <f>SUM(L4:L22)</f>
        <v/>
      </c>
      <c r="N22" s="11">
        <f>IF(L22=0,"",ROUND(G22/L22,0))</f>
        <v/>
      </c>
      <c r="O22" s="11" t="n"/>
      <c r="P22" s="11">
        <f>SUM(O4:O22)</f>
        <v/>
      </c>
      <c r="Q22" s="11" t="n"/>
      <c r="R22" s="11" t="n"/>
      <c r="S22" s="11" t="n"/>
      <c r="T22" s="11">
        <f>Q22+R22+S22</f>
        <v/>
      </c>
      <c r="U22" s="11">
        <f>SUM(T4:T22)</f>
        <v/>
      </c>
      <c r="V22" s="13">
        <f>IF(SUM(K4:K22)=0,"",U22/SUM(K4:K22))</f>
        <v/>
      </c>
    </row>
    <row r="23" ht="18" customHeight="1">
      <c r="A23" s="14" t="n">
        <v>46346</v>
      </c>
      <c r="B23" s="15" t="inlineStr">
        <is>
          <t>金</t>
        </is>
      </c>
      <c r="C23" s="15" t="n"/>
      <c r="D23" s="16" t="n"/>
      <c r="E23" s="17" t="n"/>
      <c r="F23" s="17">
        <f>SUM(E4:E23)</f>
        <v/>
      </c>
      <c r="G23" s="17" t="n"/>
      <c r="H23" s="17">
        <f>SUM(G4:G23)</f>
        <v/>
      </c>
      <c r="I23" s="18">
        <f>IF(E23=0,"",G23/E23)</f>
        <v/>
      </c>
      <c r="J23" s="17">
        <f>ROUND(G23*0.1,0)</f>
        <v/>
      </c>
      <c r="K23" s="17">
        <f>G23+J23</f>
        <v/>
      </c>
      <c r="L23" s="17" t="n"/>
      <c r="M23" s="17">
        <f>SUM(L4:L23)</f>
        <v/>
      </c>
      <c r="N23" s="17">
        <f>IF(L23=0,"",ROUND(G23/L23,0))</f>
        <v/>
      </c>
      <c r="O23" s="17" t="n"/>
      <c r="P23" s="17">
        <f>SUM(O4:O23)</f>
        <v/>
      </c>
      <c r="Q23" s="17" t="n"/>
      <c r="R23" s="17" t="n"/>
      <c r="S23" s="17" t="n"/>
      <c r="T23" s="17">
        <f>Q23+R23+S23</f>
        <v/>
      </c>
      <c r="U23" s="17">
        <f>SUM(T4:T23)</f>
        <v/>
      </c>
      <c r="V23" s="19">
        <f>IF(SUM(K4:K23)=0,"",U23/SUM(K4:K23))</f>
        <v/>
      </c>
    </row>
    <row r="24" ht="18" customHeight="1">
      <c r="A24" s="20" t="n">
        <v>46347</v>
      </c>
      <c r="B24" s="21" t="inlineStr">
        <is>
          <t>土</t>
        </is>
      </c>
      <c r="C24" s="22" t="n"/>
      <c r="D24" s="23" t="n"/>
      <c r="E24" s="24" t="n"/>
      <c r="F24" s="24">
        <f>SUM(E4:E24)</f>
        <v/>
      </c>
      <c r="G24" s="24" t="n"/>
      <c r="H24" s="24">
        <f>SUM(G4:G24)</f>
        <v/>
      </c>
      <c r="I24" s="25">
        <f>IF(E24=0,"",G24/E24)</f>
        <v/>
      </c>
      <c r="J24" s="24">
        <f>ROUND(G24*0.1,0)</f>
        <v/>
      </c>
      <c r="K24" s="24">
        <f>G24+J24</f>
        <v/>
      </c>
      <c r="L24" s="24" t="n"/>
      <c r="M24" s="24">
        <f>SUM(L4:L24)</f>
        <v/>
      </c>
      <c r="N24" s="24">
        <f>IF(L24=0,"",ROUND(G24/L24,0))</f>
        <v/>
      </c>
      <c r="O24" s="24" t="n"/>
      <c r="P24" s="24">
        <f>SUM(O4:O24)</f>
        <v/>
      </c>
      <c r="Q24" s="24" t="n"/>
      <c r="R24" s="24" t="n"/>
      <c r="S24" s="24" t="n"/>
      <c r="T24" s="24">
        <f>Q24+R24+S24</f>
        <v/>
      </c>
      <c r="U24" s="24">
        <f>SUM(T4:T24)</f>
        <v/>
      </c>
      <c r="V24" s="26">
        <f>IF(SUM(K4:K24)=0,"",U24/SUM(K4:K24))</f>
        <v/>
      </c>
    </row>
    <row r="25" ht="18" customHeight="1">
      <c r="A25" s="27" t="n">
        <v>46348</v>
      </c>
      <c r="B25" s="28" t="inlineStr">
        <is>
          <t>日</t>
        </is>
      </c>
      <c r="C25" s="29" t="n"/>
      <c r="D25" s="30" t="n"/>
      <c r="E25" s="31" t="n"/>
      <c r="F25" s="31">
        <f>SUM(E4:E25)</f>
        <v/>
      </c>
      <c r="G25" s="31" t="n"/>
      <c r="H25" s="31">
        <f>SUM(G4:G25)</f>
        <v/>
      </c>
      <c r="I25" s="32">
        <f>IF(E25=0,"",G25/E25)</f>
        <v/>
      </c>
      <c r="J25" s="31">
        <f>ROUND(G25*0.1,0)</f>
        <v/>
      </c>
      <c r="K25" s="31">
        <f>G25+J25</f>
        <v/>
      </c>
      <c r="L25" s="31" t="n"/>
      <c r="M25" s="31">
        <f>SUM(L4:L25)</f>
        <v/>
      </c>
      <c r="N25" s="31">
        <f>IF(L25=0,"",ROUND(G25/L25,0))</f>
        <v/>
      </c>
      <c r="O25" s="31" t="n"/>
      <c r="P25" s="31">
        <f>SUM(O4:O25)</f>
        <v/>
      </c>
      <c r="Q25" s="31" t="n"/>
      <c r="R25" s="31" t="n"/>
      <c r="S25" s="31" t="n"/>
      <c r="T25" s="31">
        <f>Q25+R25+S25</f>
        <v/>
      </c>
      <c r="U25" s="31">
        <f>SUM(T4:T25)</f>
        <v/>
      </c>
      <c r="V25" s="33">
        <f>IF(SUM(K4:K25)=0,"",U25/SUM(K4:K25))</f>
        <v/>
      </c>
    </row>
    <row r="26" ht="18" customHeight="1">
      <c r="A26" s="8" t="n">
        <v>46349</v>
      </c>
      <c r="B26" s="9" t="inlineStr">
        <is>
          <t>月</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14" t="n">
        <v>46350</v>
      </c>
      <c r="B27" s="15" t="inlineStr">
        <is>
          <t>火</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8" t="n">
        <v>46351</v>
      </c>
      <c r="B28" s="9" t="inlineStr">
        <is>
          <t>水</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14" t="n">
        <v>46352</v>
      </c>
      <c r="B29" s="15" t="inlineStr">
        <is>
          <t>木</t>
        </is>
      </c>
      <c r="C29" s="15" t="n"/>
      <c r="D29" s="16" t="n"/>
      <c r="E29" s="17" t="n"/>
      <c r="F29" s="17">
        <f>SUM(E4:E29)</f>
        <v/>
      </c>
      <c r="G29" s="17" t="n"/>
      <c r="H29" s="17">
        <f>SUM(G4:G29)</f>
        <v/>
      </c>
      <c r="I29" s="18">
        <f>IF(E29=0,"",G29/E29)</f>
        <v/>
      </c>
      <c r="J29" s="17">
        <f>ROUND(G29*0.1,0)</f>
        <v/>
      </c>
      <c r="K29" s="17">
        <f>G29+J29</f>
        <v/>
      </c>
      <c r="L29" s="17" t="n"/>
      <c r="M29" s="17">
        <f>SUM(L4:L29)</f>
        <v/>
      </c>
      <c r="N29" s="17">
        <f>IF(L29=0,"",ROUND(G29/L29,0))</f>
        <v/>
      </c>
      <c r="O29" s="17" t="n"/>
      <c r="P29" s="17">
        <f>SUM(O4:O29)</f>
        <v/>
      </c>
      <c r="Q29" s="17" t="n"/>
      <c r="R29" s="17" t="n"/>
      <c r="S29" s="17" t="n"/>
      <c r="T29" s="17">
        <f>Q29+R29+S29</f>
        <v/>
      </c>
      <c r="U29" s="17">
        <f>SUM(T4:T29)</f>
        <v/>
      </c>
      <c r="V29" s="19">
        <f>IF(SUM(K4:K29)=0,"",U29/SUM(K4:K29))</f>
        <v/>
      </c>
    </row>
    <row r="30" ht="18" customHeight="1">
      <c r="A30" s="8" t="n">
        <v>46353</v>
      </c>
      <c r="B30" s="9" t="inlineStr">
        <is>
          <t>金</t>
        </is>
      </c>
      <c r="C30" s="9" t="n"/>
      <c r="D30" s="10" t="n"/>
      <c r="E30" s="11" t="n"/>
      <c r="F30" s="11">
        <f>SUM(E4:E30)</f>
        <v/>
      </c>
      <c r="G30" s="11" t="n"/>
      <c r="H30" s="11">
        <f>SUM(G4:G30)</f>
        <v/>
      </c>
      <c r="I30" s="12">
        <f>IF(E30=0,"",G30/E30)</f>
        <v/>
      </c>
      <c r="J30" s="11">
        <f>ROUND(G30*0.1,0)</f>
        <v/>
      </c>
      <c r="K30" s="11">
        <f>G30+J30</f>
        <v/>
      </c>
      <c r="L30" s="11" t="n"/>
      <c r="M30" s="11">
        <f>SUM(L4:L30)</f>
        <v/>
      </c>
      <c r="N30" s="11">
        <f>IF(L30=0,"",ROUND(G30/L30,0))</f>
        <v/>
      </c>
      <c r="O30" s="11" t="n"/>
      <c r="P30" s="11">
        <f>SUM(O4:O30)</f>
        <v/>
      </c>
      <c r="Q30" s="11" t="n"/>
      <c r="R30" s="11" t="n"/>
      <c r="S30" s="11" t="n"/>
      <c r="T30" s="11">
        <f>Q30+R30+S30</f>
        <v/>
      </c>
      <c r="U30" s="11">
        <f>SUM(T4:T30)</f>
        <v/>
      </c>
      <c r="V30" s="13">
        <f>IF(SUM(K4:K30)=0,"",U30/SUM(K4:K30))</f>
        <v/>
      </c>
    </row>
    <row r="31" ht="18" customHeight="1">
      <c r="A31" s="20" t="n">
        <v>46354</v>
      </c>
      <c r="B31" s="21" t="inlineStr">
        <is>
          <t>土</t>
        </is>
      </c>
      <c r="C31" s="22" t="n"/>
      <c r="D31" s="23" t="n"/>
      <c r="E31" s="24" t="n"/>
      <c r="F31" s="24">
        <f>SUM(E4:E31)</f>
        <v/>
      </c>
      <c r="G31" s="24" t="n"/>
      <c r="H31" s="24">
        <f>SUM(G4:G31)</f>
        <v/>
      </c>
      <c r="I31" s="25">
        <f>IF(E31=0,"",G31/E31)</f>
        <v/>
      </c>
      <c r="J31" s="24">
        <f>ROUND(G31*0.1,0)</f>
        <v/>
      </c>
      <c r="K31" s="24">
        <f>G31+J31</f>
        <v/>
      </c>
      <c r="L31" s="24" t="n"/>
      <c r="M31" s="24">
        <f>SUM(L4:L31)</f>
        <v/>
      </c>
      <c r="N31" s="24">
        <f>IF(L31=0,"",ROUND(G31/L31,0))</f>
        <v/>
      </c>
      <c r="O31" s="24" t="n"/>
      <c r="P31" s="24">
        <f>SUM(O4:O31)</f>
        <v/>
      </c>
      <c r="Q31" s="24" t="n"/>
      <c r="R31" s="24" t="n"/>
      <c r="S31" s="24" t="n"/>
      <c r="T31" s="24">
        <f>Q31+R31+S31</f>
        <v/>
      </c>
      <c r="U31" s="24">
        <f>SUM(T4:T31)</f>
        <v/>
      </c>
      <c r="V31" s="26">
        <f>IF(SUM(K4:K31)=0,"",U31/SUM(K4:K31))</f>
        <v/>
      </c>
    </row>
    <row r="32" ht="18" customHeight="1">
      <c r="A32" s="27" t="n">
        <v>46355</v>
      </c>
      <c r="B32" s="28" t="inlineStr">
        <is>
          <t>日</t>
        </is>
      </c>
      <c r="C32" s="29" t="n"/>
      <c r="D32" s="30" t="n"/>
      <c r="E32" s="31" t="n"/>
      <c r="F32" s="31">
        <f>SUM(E4:E32)</f>
        <v/>
      </c>
      <c r="G32" s="31" t="n"/>
      <c r="H32" s="31">
        <f>SUM(G4:G32)</f>
        <v/>
      </c>
      <c r="I32" s="32">
        <f>IF(E32=0,"",G32/E32)</f>
        <v/>
      </c>
      <c r="J32" s="31">
        <f>ROUND(G32*0.1,0)</f>
        <v/>
      </c>
      <c r="K32" s="31">
        <f>G32+J32</f>
        <v/>
      </c>
      <c r="L32" s="31" t="n"/>
      <c r="M32" s="31">
        <f>SUM(L4:L32)</f>
        <v/>
      </c>
      <c r="N32" s="31">
        <f>IF(L32=0,"",ROUND(G32/L32,0))</f>
        <v/>
      </c>
      <c r="O32" s="31" t="n"/>
      <c r="P32" s="31">
        <f>SUM(O4:O32)</f>
        <v/>
      </c>
      <c r="Q32" s="31" t="n"/>
      <c r="R32" s="31" t="n"/>
      <c r="S32" s="31" t="n"/>
      <c r="T32" s="31">
        <f>Q32+R32+S32</f>
        <v/>
      </c>
      <c r="U32" s="31">
        <f>SUM(T4:T32)</f>
        <v/>
      </c>
      <c r="V32" s="33">
        <f>IF(SUM(K4:K32)=0,"",U32/SUM(K4:K32))</f>
        <v/>
      </c>
    </row>
    <row r="33" ht="18" customHeight="1">
      <c r="A33" s="14" t="n">
        <v>46356</v>
      </c>
      <c r="B33" s="15" t="inlineStr">
        <is>
          <t>月</t>
        </is>
      </c>
      <c r="C33" s="15" t="n"/>
      <c r="D33" s="16" t="n"/>
      <c r="E33" s="17" t="n"/>
      <c r="F33" s="17">
        <f>SUM(E4:E33)</f>
        <v/>
      </c>
      <c r="G33" s="17" t="n"/>
      <c r="H33" s="17">
        <f>SUM(G4:G33)</f>
        <v/>
      </c>
      <c r="I33" s="18">
        <f>IF(E33=0,"",G33/E33)</f>
        <v/>
      </c>
      <c r="J33" s="17">
        <f>ROUND(G33*0.1,0)</f>
        <v/>
      </c>
      <c r="K33" s="17">
        <f>G33+J33</f>
        <v/>
      </c>
      <c r="L33" s="17" t="n"/>
      <c r="M33" s="17">
        <f>SUM(L4:L33)</f>
        <v/>
      </c>
      <c r="N33" s="17">
        <f>IF(L33=0,"",ROUND(G33/L33,0))</f>
        <v/>
      </c>
      <c r="O33" s="17" t="n"/>
      <c r="P33" s="17">
        <f>SUM(O4:O33)</f>
        <v/>
      </c>
      <c r="Q33" s="17" t="n"/>
      <c r="R33" s="17" t="n"/>
      <c r="S33" s="17" t="n"/>
      <c r="T33" s="17">
        <f>Q33+R33+S33</f>
        <v/>
      </c>
      <c r="U33" s="17">
        <f>SUM(T4:T33)</f>
        <v/>
      </c>
      <c r="V33" s="19">
        <f>IF(SUM(K4:K33)=0,"",U33/SUM(K4:K33))</f>
        <v/>
      </c>
    </row>
    <row r="34" ht="22" customHeight="1">
      <c r="A34" s="34" t="inlineStr">
        <is>
          <t>月　合　計</t>
        </is>
      </c>
      <c r="E34" s="35">
        <f>SUM(E4:E33)</f>
        <v/>
      </c>
      <c r="F34" s="35">
        <f>F33</f>
        <v/>
      </c>
      <c r="G34" s="35">
        <f>SUM(G4:G33)</f>
        <v/>
      </c>
      <c r="H34" s="35">
        <f>H33</f>
        <v/>
      </c>
      <c r="I34" s="36">
        <f>IF(E34=0,"",G34/E34)</f>
        <v/>
      </c>
      <c r="J34" s="35">
        <f>ROUND(G34*0.1,0)</f>
        <v/>
      </c>
      <c r="K34" s="35">
        <f>G34+J34</f>
        <v/>
      </c>
      <c r="L34" s="35">
        <f>SUM(L4:L33)</f>
        <v/>
      </c>
      <c r="M34" s="35">
        <f>M33</f>
        <v/>
      </c>
      <c r="N34" s="35">
        <f>IF(L34=0,"",ROUND(G34/L34,0))</f>
        <v/>
      </c>
      <c r="O34" s="35">
        <f>SUM(O4:O33)</f>
        <v/>
      </c>
      <c r="P34" s="35">
        <f>P33</f>
        <v/>
      </c>
      <c r="Q34" s="35">
        <f>SUM(Q4:Q33)</f>
        <v/>
      </c>
      <c r="R34" s="35">
        <f>SUM(R4:R33)</f>
        <v/>
      </c>
      <c r="S34" s="35">
        <f>SUM(S4:S33)</f>
        <v/>
      </c>
      <c r="T34" s="35">
        <f>SUM(T4:T33)</f>
        <v/>
      </c>
      <c r="U34" s="35">
        <f>U33</f>
        <v/>
      </c>
      <c r="V34" s="37">
        <f>IF(K34=0,"",T34/K34)</f>
        <v/>
      </c>
    </row>
    <row r="36">
      <c r="A36" s="38" t="inlineStr">
        <is>
          <t>【凡例】</t>
        </is>
      </c>
    </row>
    <row r="37">
      <c r="A37" s="39" t="inlineStr">
        <is>
          <t>■ 青背景：土曜日</t>
        </is>
      </c>
    </row>
    <row r="38">
      <c r="A38" s="40" t="inlineStr">
        <is>
          <t>■ 赤背景：日曜日</t>
        </is>
      </c>
    </row>
    <row r="39">
      <c r="A39" s="41" t="inlineStr">
        <is>
          <t>■ 緑ヘッダー：従業員入力欄</t>
        </is>
      </c>
    </row>
    <row r="40">
      <c r="A40" s="42" t="inlineStr">
        <is>
          <t>■ グレーヘッダー：自動計算欄（入力不要）</t>
        </is>
      </c>
    </row>
  </sheetData>
  <mergeCells count="7">
    <mergeCell ref="E2:J2"/>
    <mergeCell ref="Q2:U2"/>
    <mergeCell ref="A34:D34"/>
    <mergeCell ref="A1:V1"/>
    <mergeCell ref="L2:O2"/>
    <mergeCell ref="B2:B3"/>
    <mergeCell ref="A2:A3"/>
  </mergeCells>
  <dataValidations count="3">
    <dataValidation sqref="C4 C5 C6 C7 C8 C9 C10 C11 C12 C13 C14 C15 C16 C17 C18 C19 C20 C21 C22 C23 C24 C25 C26 C27 C28 C29 C30 C31 C32 C33"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G4 G5 G6 G7 G8 G9 G10 G11 G12 G13 G14 G15 G16 G17 G18 G19 G20 G21 G22 G23 G24 G25 G26 G27 G28 G29 G30 G31 G32 G33 L4 L5 L6 L7 L8 L9 L10 L11 L12 L13 L14 L15 L16 L17 L18 L19 L20 L21 L22 L23 L24 L25 L26 L27 L28 L29 L30 L31 L32 L33 O4 O5 O6 O7 O8 O9 O10 O11 O12 O13 O14 O15 O16 O17 O18 O19 O20 O21 O22 O23 O24 O25 O26 O27 O28 O29 O30 O31 O32 O33 Q4 Q5 Q6 Q7 Q8 Q9 Q10 Q11 Q12 Q13 Q14 Q15 Q16 Q17 Q18 Q19 Q20 Q21 Q22 Q23 Q24 Q25 Q26 Q27 Q28 Q29 Q30 Q31 Q32 Q33 R4 R5 R6 R7 R8 R9 R10 R11 R12 R13 R14 R15 R16 R17 R18 R19 R20 R21 R22 R23 R24 R25 R26 R27 R28 R29 R30 R31 R32 R33 S4 S5 S6 S7 S8 S9 S10 S11 S12 S13 S14 S15 S16 S17 S18 S19 S20 S21 S22 S23 S24 S25 S26 S27 S28 S29 S30 S31 S32 S33"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sheetPr>
  <dimension ref="A1:X4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2026年 12月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46357</v>
      </c>
      <c r="B4" s="9" t="inlineStr">
        <is>
          <t>火</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14" t="n">
        <v>46358</v>
      </c>
      <c r="B5" s="15" t="inlineStr">
        <is>
          <t>水</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8" t="n">
        <v>46359</v>
      </c>
      <c r="B6" s="9" t="inlineStr">
        <is>
          <t>木</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14" t="n">
        <v>46360</v>
      </c>
      <c r="B7" s="15" t="inlineStr">
        <is>
          <t>金</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20" t="n">
        <v>46361</v>
      </c>
      <c r="B8" s="21" t="inlineStr">
        <is>
          <t>土</t>
        </is>
      </c>
      <c r="C8" s="22" t="n"/>
      <c r="D8" s="23" t="n"/>
      <c r="E8" s="24" t="n"/>
      <c r="F8" s="24">
        <f>SUM(E4:E8)</f>
        <v/>
      </c>
      <c r="G8" s="24" t="n"/>
      <c r="H8" s="24">
        <f>SUM(G4:G8)</f>
        <v/>
      </c>
      <c r="I8" s="25">
        <f>IF(E8=0,"",G8/E8)</f>
        <v/>
      </c>
      <c r="J8" s="24">
        <f>ROUND(G8*0.1,0)</f>
        <v/>
      </c>
      <c r="K8" s="24">
        <f>G8+J8</f>
        <v/>
      </c>
      <c r="L8" s="24" t="n"/>
      <c r="M8" s="24">
        <f>SUM(L4:L8)</f>
        <v/>
      </c>
      <c r="N8" s="24">
        <f>IF(L8=0,"",ROUND(G8/L8,0))</f>
        <v/>
      </c>
      <c r="O8" s="24" t="n"/>
      <c r="P8" s="24">
        <f>SUM(O4:O8)</f>
        <v/>
      </c>
      <c r="Q8" s="24" t="n"/>
      <c r="R8" s="24" t="n"/>
      <c r="S8" s="24" t="n"/>
      <c r="T8" s="24">
        <f>Q8+R8+S8</f>
        <v/>
      </c>
      <c r="U8" s="24">
        <f>SUM(T4:T8)</f>
        <v/>
      </c>
      <c r="V8" s="26">
        <f>IF(SUM(K4:K8)=0,"",U8/SUM(K4:K8))</f>
        <v/>
      </c>
    </row>
    <row r="9" ht="18" customHeight="1">
      <c r="A9" s="27" t="n">
        <v>46362</v>
      </c>
      <c r="B9" s="28" t="inlineStr">
        <is>
          <t>日</t>
        </is>
      </c>
      <c r="C9" s="29" t="n"/>
      <c r="D9" s="30" t="n"/>
      <c r="E9" s="31" t="n"/>
      <c r="F9" s="31">
        <f>SUM(E4:E9)</f>
        <v/>
      </c>
      <c r="G9" s="31" t="n"/>
      <c r="H9" s="31">
        <f>SUM(G4:G9)</f>
        <v/>
      </c>
      <c r="I9" s="32">
        <f>IF(E9=0,"",G9/E9)</f>
        <v/>
      </c>
      <c r="J9" s="31">
        <f>ROUND(G9*0.1,0)</f>
        <v/>
      </c>
      <c r="K9" s="31">
        <f>G9+J9</f>
        <v/>
      </c>
      <c r="L9" s="31" t="n"/>
      <c r="M9" s="31">
        <f>SUM(L4:L9)</f>
        <v/>
      </c>
      <c r="N9" s="31">
        <f>IF(L9=0,"",ROUND(G9/L9,0))</f>
        <v/>
      </c>
      <c r="O9" s="31" t="n"/>
      <c r="P9" s="31">
        <f>SUM(O4:O9)</f>
        <v/>
      </c>
      <c r="Q9" s="31" t="n"/>
      <c r="R9" s="31" t="n"/>
      <c r="S9" s="31" t="n"/>
      <c r="T9" s="31">
        <f>Q9+R9+S9</f>
        <v/>
      </c>
      <c r="U9" s="31">
        <f>SUM(T4:T9)</f>
        <v/>
      </c>
      <c r="V9" s="33">
        <f>IF(SUM(K4:K9)=0,"",U9/SUM(K4:K9))</f>
        <v/>
      </c>
    </row>
    <row r="10" ht="18" customHeight="1">
      <c r="A10" s="8" t="n">
        <v>46363</v>
      </c>
      <c r="B10" s="9" t="inlineStr">
        <is>
          <t>月</t>
        </is>
      </c>
      <c r="C10" s="9" t="n"/>
      <c r="D10" s="10" t="n"/>
      <c r="E10" s="11" t="n"/>
      <c r="F10" s="11">
        <f>SUM(E4:E10)</f>
        <v/>
      </c>
      <c r="G10" s="11" t="n"/>
      <c r="H10" s="11">
        <f>SUM(G4:G10)</f>
        <v/>
      </c>
      <c r="I10" s="12">
        <f>IF(E10=0,"",G10/E10)</f>
        <v/>
      </c>
      <c r="J10" s="11">
        <f>ROUND(G10*0.1,0)</f>
        <v/>
      </c>
      <c r="K10" s="11">
        <f>G10+J10</f>
        <v/>
      </c>
      <c r="L10" s="11" t="n"/>
      <c r="M10" s="11">
        <f>SUM(L4:L10)</f>
        <v/>
      </c>
      <c r="N10" s="11">
        <f>IF(L10=0,"",ROUND(G10/L10,0))</f>
        <v/>
      </c>
      <c r="O10" s="11" t="n"/>
      <c r="P10" s="11">
        <f>SUM(O4:O10)</f>
        <v/>
      </c>
      <c r="Q10" s="11" t="n"/>
      <c r="R10" s="11" t="n"/>
      <c r="S10" s="11" t="n"/>
      <c r="T10" s="11">
        <f>Q10+R10+S10</f>
        <v/>
      </c>
      <c r="U10" s="11">
        <f>SUM(T4:T10)</f>
        <v/>
      </c>
      <c r="V10" s="13">
        <f>IF(SUM(K4:K10)=0,"",U10/SUM(K4:K10))</f>
        <v/>
      </c>
    </row>
    <row r="11" ht="18" customHeight="1">
      <c r="A11" s="14" t="n">
        <v>46364</v>
      </c>
      <c r="B11" s="15" t="inlineStr">
        <is>
          <t>火</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8" t="n">
        <v>46365</v>
      </c>
      <c r="B12" s="9" t="inlineStr">
        <is>
          <t>水</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14" t="n">
        <v>46366</v>
      </c>
      <c r="B13" s="15" t="inlineStr">
        <is>
          <t>木</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8" t="n">
        <v>46367</v>
      </c>
      <c r="B14" s="9" t="inlineStr">
        <is>
          <t>金</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20" t="n">
        <v>46368</v>
      </c>
      <c r="B15" s="21" t="inlineStr">
        <is>
          <t>土</t>
        </is>
      </c>
      <c r="C15" s="22" t="n"/>
      <c r="D15" s="23" t="n"/>
      <c r="E15" s="24" t="n"/>
      <c r="F15" s="24">
        <f>SUM(E4:E15)</f>
        <v/>
      </c>
      <c r="G15" s="24" t="n"/>
      <c r="H15" s="24">
        <f>SUM(G4:G15)</f>
        <v/>
      </c>
      <c r="I15" s="25">
        <f>IF(E15=0,"",G15/E15)</f>
        <v/>
      </c>
      <c r="J15" s="24">
        <f>ROUND(G15*0.1,0)</f>
        <v/>
      </c>
      <c r="K15" s="24">
        <f>G15+J15</f>
        <v/>
      </c>
      <c r="L15" s="24" t="n"/>
      <c r="M15" s="24">
        <f>SUM(L4:L15)</f>
        <v/>
      </c>
      <c r="N15" s="24">
        <f>IF(L15=0,"",ROUND(G15/L15,0))</f>
        <v/>
      </c>
      <c r="O15" s="24" t="n"/>
      <c r="P15" s="24">
        <f>SUM(O4:O15)</f>
        <v/>
      </c>
      <c r="Q15" s="24" t="n"/>
      <c r="R15" s="24" t="n"/>
      <c r="S15" s="24" t="n"/>
      <c r="T15" s="24">
        <f>Q15+R15+S15</f>
        <v/>
      </c>
      <c r="U15" s="24">
        <f>SUM(T4:T15)</f>
        <v/>
      </c>
      <c r="V15" s="26">
        <f>IF(SUM(K4:K15)=0,"",U15/SUM(K4:K15))</f>
        <v/>
      </c>
    </row>
    <row r="16" ht="18" customHeight="1">
      <c r="A16" s="27" t="n">
        <v>46369</v>
      </c>
      <c r="B16" s="28" t="inlineStr">
        <is>
          <t>日</t>
        </is>
      </c>
      <c r="C16" s="29" t="n"/>
      <c r="D16" s="30" t="n"/>
      <c r="E16" s="31" t="n"/>
      <c r="F16" s="31">
        <f>SUM(E4:E16)</f>
        <v/>
      </c>
      <c r="G16" s="31" t="n"/>
      <c r="H16" s="31">
        <f>SUM(G4:G16)</f>
        <v/>
      </c>
      <c r="I16" s="32">
        <f>IF(E16=0,"",G16/E16)</f>
        <v/>
      </c>
      <c r="J16" s="31">
        <f>ROUND(G16*0.1,0)</f>
        <v/>
      </c>
      <c r="K16" s="31">
        <f>G16+J16</f>
        <v/>
      </c>
      <c r="L16" s="31" t="n"/>
      <c r="M16" s="31">
        <f>SUM(L4:L16)</f>
        <v/>
      </c>
      <c r="N16" s="31">
        <f>IF(L16=0,"",ROUND(G16/L16,0))</f>
        <v/>
      </c>
      <c r="O16" s="31" t="n"/>
      <c r="P16" s="31">
        <f>SUM(O4:O16)</f>
        <v/>
      </c>
      <c r="Q16" s="31" t="n"/>
      <c r="R16" s="31" t="n"/>
      <c r="S16" s="31" t="n"/>
      <c r="T16" s="31">
        <f>Q16+R16+S16</f>
        <v/>
      </c>
      <c r="U16" s="31">
        <f>SUM(T4:T16)</f>
        <v/>
      </c>
      <c r="V16" s="33">
        <f>IF(SUM(K4:K16)=0,"",U16/SUM(K4:K16))</f>
        <v/>
      </c>
    </row>
    <row r="17" ht="18" customHeight="1">
      <c r="A17" s="14" t="n">
        <v>46370</v>
      </c>
      <c r="B17" s="15" t="inlineStr">
        <is>
          <t>月</t>
        </is>
      </c>
      <c r="C17" s="15" t="n"/>
      <c r="D17" s="16" t="n"/>
      <c r="E17" s="17" t="n"/>
      <c r="F17" s="17">
        <f>SUM(E4:E17)</f>
        <v/>
      </c>
      <c r="G17" s="17" t="n"/>
      <c r="H17" s="17">
        <f>SUM(G4:G17)</f>
        <v/>
      </c>
      <c r="I17" s="18">
        <f>IF(E17=0,"",G17/E17)</f>
        <v/>
      </c>
      <c r="J17" s="17">
        <f>ROUND(G17*0.1,0)</f>
        <v/>
      </c>
      <c r="K17" s="17">
        <f>G17+J17</f>
        <v/>
      </c>
      <c r="L17" s="17" t="n"/>
      <c r="M17" s="17">
        <f>SUM(L4:L17)</f>
        <v/>
      </c>
      <c r="N17" s="17">
        <f>IF(L17=0,"",ROUND(G17/L17,0))</f>
        <v/>
      </c>
      <c r="O17" s="17" t="n"/>
      <c r="P17" s="17">
        <f>SUM(O4:O17)</f>
        <v/>
      </c>
      <c r="Q17" s="17" t="n"/>
      <c r="R17" s="17" t="n"/>
      <c r="S17" s="17" t="n"/>
      <c r="T17" s="17">
        <f>Q17+R17+S17</f>
        <v/>
      </c>
      <c r="U17" s="17">
        <f>SUM(T4:T17)</f>
        <v/>
      </c>
      <c r="V17" s="19">
        <f>IF(SUM(K4:K17)=0,"",U17/SUM(K4:K17))</f>
        <v/>
      </c>
    </row>
    <row r="18" ht="18" customHeight="1">
      <c r="A18" s="8" t="n">
        <v>46371</v>
      </c>
      <c r="B18" s="9" t="inlineStr">
        <is>
          <t>火</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14" t="n">
        <v>46372</v>
      </c>
      <c r="B19" s="15" t="inlineStr">
        <is>
          <t>水</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8" t="n">
        <v>46373</v>
      </c>
      <c r="B20" s="9" t="inlineStr">
        <is>
          <t>木</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14" t="n">
        <v>46374</v>
      </c>
      <c r="B21" s="15" t="inlineStr">
        <is>
          <t>金</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20" t="n">
        <v>46375</v>
      </c>
      <c r="B22" s="21" t="inlineStr">
        <is>
          <t>土</t>
        </is>
      </c>
      <c r="C22" s="22" t="n"/>
      <c r="D22" s="23" t="n"/>
      <c r="E22" s="24" t="n"/>
      <c r="F22" s="24">
        <f>SUM(E4:E22)</f>
        <v/>
      </c>
      <c r="G22" s="24" t="n"/>
      <c r="H22" s="24">
        <f>SUM(G4:G22)</f>
        <v/>
      </c>
      <c r="I22" s="25">
        <f>IF(E22=0,"",G22/E22)</f>
        <v/>
      </c>
      <c r="J22" s="24">
        <f>ROUND(G22*0.1,0)</f>
        <v/>
      </c>
      <c r="K22" s="24">
        <f>G22+J22</f>
        <v/>
      </c>
      <c r="L22" s="24" t="n"/>
      <c r="M22" s="24">
        <f>SUM(L4:L22)</f>
        <v/>
      </c>
      <c r="N22" s="24">
        <f>IF(L22=0,"",ROUND(G22/L22,0))</f>
        <v/>
      </c>
      <c r="O22" s="24" t="n"/>
      <c r="P22" s="24">
        <f>SUM(O4:O22)</f>
        <v/>
      </c>
      <c r="Q22" s="24" t="n"/>
      <c r="R22" s="24" t="n"/>
      <c r="S22" s="24" t="n"/>
      <c r="T22" s="24">
        <f>Q22+R22+S22</f>
        <v/>
      </c>
      <c r="U22" s="24">
        <f>SUM(T4:T22)</f>
        <v/>
      </c>
      <c r="V22" s="26">
        <f>IF(SUM(K4:K22)=0,"",U22/SUM(K4:K22))</f>
        <v/>
      </c>
    </row>
    <row r="23" ht="18" customHeight="1">
      <c r="A23" s="27" t="n">
        <v>46376</v>
      </c>
      <c r="B23" s="28" t="inlineStr">
        <is>
          <t>日</t>
        </is>
      </c>
      <c r="C23" s="29" t="n"/>
      <c r="D23" s="30" t="n"/>
      <c r="E23" s="31" t="n"/>
      <c r="F23" s="31">
        <f>SUM(E4:E23)</f>
        <v/>
      </c>
      <c r="G23" s="31" t="n"/>
      <c r="H23" s="31">
        <f>SUM(G4:G23)</f>
        <v/>
      </c>
      <c r="I23" s="32">
        <f>IF(E23=0,"",G23/E23)</f>
        <v/>
      </c>
      <c r="J23" s="31">
        <f>ROUND(G23*0.1,0)</f>
        <v/>
      </c>
      <c r="K23" s="31">
        <f>G23+J23</f>
        <v/>
      </c>
      <c r="L23" s="31" t="n"/>
      <c r="M23" s="31">
        <f>SUM(L4:L23)</f>
        <v/>
      </c>
      <c r="N23" s="31">
        <f>IF(L23=0,"",ROUND(G23/L23,0))</f>
        <v/>
      </c>
      <c r="O23" s="31" t="n"/>
      <c r="P23" s="31">
        <f>SUM(O4:O23)</f>
        <v/>
      </c>
      <c r="Q23" s="31" t="n"/>
      <c r="R23" s="31" t="n"/>
      <c r="S23" s="31" t="n"/>
      <c r="T23" s="31">
        <f>Q23+R23+S23</f>
        <v/>
      </c>
      <c r="U23" s="31">
        <f>SUM(T4:T23)</f>
        <v/>
      </c>
      <c r="V23" s="33">
        <f>IF(SUM(K4:K23)=0,"",U23/SUM(K4:K23))</f>
        <v/>
      </c>
    </row>
    <row r="24" ht="18" customHeight="1">
      <c r="A24" s="8" t="n">
        <v>46377</v>
      </c>
      <c r="B24" s="9" t="inlineStr">
        <is>
          <t>月</t>
        </is>
      </c>
      <c r="C24" s="9" t="n"/>
      <c r="D24" s="10" t="n"/>
      <c r="E24" s="11" t="n"/>
      <c r="F24" s="11">
        <f>SUM(E4:E24)</f>
        <v/>
      </c>
      <c r="G24" s="11" t="n"/>
      <c r="H24" s="11">
        <f>SUM(G4:G24)</f>
        <v/>
      </c>
      <c r="I24" s="12">
        <f>IF(E24=0,"",G24/E24)</f>
        <v/>
      </c>
      <c r="J24" s="11">
        <f>ROUND(G24*0.1,0)</f>
        <v/>
      </c>
      <c r="K24" s="11">
        <f>G24+J24</f>
        <v/>
      </c>
      <c r="L24" s="11" t="n"/>
      <c r="M24" s="11">
        <f>SUM(L4:L24)</f>
        <v/>
      </c>
      <c r="N24" s="11">
        <f>IF(L24=0,"",ROUND(G24/L24,0))</f>
        <v/>
      </c>
      <c r="O24" s="11" t="n"/>
      <c r="P24" s="11">
        <f>SUM(O4:O24)</f>
        <v/>
      </c>
      <c r="Q24" s="11" t="n"/>
      <c r="R24" s="11" t="n"/>
      <c r="S24" s="11" t="n"/>
      <c r="T24" s="11">
        <f>Q24+R24+S24</f>
        <v/>
      </c>
      <c r="U24" s="11">
        <f>SUM(T4:T24)</f>
        <v/>
      </c>
      <c r="V24" s="13">
        <f>IF(SUM(K4:K24)=0,"",U24/SUM(K4:K24))</f>
        <v/>
      </c>
    </row>
    <row r="25" ht="18" customHeight="1">
      <c r="A25" s="14" t="n">
        <v>46378</v>
      </c>
      <c r="B25" s="15" t="inlineStr">
        <is>
          <t>火</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8" t="n">
        <v>46379</v>
      </c>
      <c r="B26" s="9" t="inlineStr">
        <is>
          <t>水</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14" t="n">
        <v>46380</v>
      </c>
      <c r="B27" s="15" t="inlineStr">
        <is>
          <t>木</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8" t="n">
        <v>46381</v>
      </c>
      <c r="B28" s="9" t="inlineStr">
        <is>
          <t>金</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20" t="n">
        <v>46382</v>
      </c>
      <c r="B29" s="21" t="inlineStr">
        <is>
          <t>土</t>
        </is>
      </c>
      <c r="C29" s="22" t="n"/>
      <c r="D29" s="23" t="n"/>
      <c r="E29" s="24" t="n"/>
      <c r="F29" s="24">
        <f>SUM(E4:E29)</f>
        <v/>
      </c>
      <c r="G29" s="24" t="n"/>
      <c r="H29" s="24">
        <f>SUM(G4:G29)</f>
        <v/>
      </c>
      <c r="I29" s="25">
        <f>IF(E29=0,"",G29/E29)</f>
        <v/>
      </c>
      <c r="J29" s="24">
        <f>ROUND(G29*0.1,0)</f>
        <v/>
      </c>
      <c r="K29" s="24">
        <f>G29+J29</f>
        <v/>
      </c>
      <c r="L29" s="24" t="n"/>
      <c r="M29" s="24">
        <f>SUM(L4:L29)</f>
        <v/>
      </c>
      <c r="N29" s="24">
        <f>IF(L29=0,"",ROUND(G29/L29,0))</f>
        <v/>
      </c>
      <c r="O29" s="24" t="n"/>
      <c r="P29" s="24">
        <f>SUM(O4:O29)</f>
        <v/>
      </c>
      <c r="Q29" s="24" t="n"/>
      <c r="R29" s="24" t="n"/>
      <c r="S29" s="24" t="n"/>
      <c r="T29" s="24">
        <f>Q29+R29+S29</f>
        <v/>
      </c>
      <c r="U29" s="24">
        <f>SUM(T4:T29)</f>
        <v/>
      </c>
      <c r="V29" s="26">
        <f>IF(SUM(K4:K29)=0,"",U29/SUM(K4:K29))</f>
        <v/>
      </c>
    </row>
    <row r="30" ht="18" customHeight="1">
      <c r="A30" s="27" t="n">
        <v>46383</v>
      </c>
      <c r="B30" s="28" t="inlineStr">
        <is>
          <t>日</t>
        </is>
      </c>
      <c r="C30" s="29" t="n"/>
      <c r="D30" s="30" t="n"/>
      <c r="E30" s="31" t="n"/>
      <c r="F30" s="31">
        <f>SUM(E4:E30)</f>
        <v/>
      </c>
      <c r="G30" s="31" t="n"/>
      <c r="H30" s="31">
        <f>SUM(G4:G30)</f>
        <v/>
      </c>
      <c r="I30" s="32">
        <f>IF(E30=0,"",G30/E30)</f>
        <v/>
      </c>
      <c r="J30" s="31">
        <f>ROUND(G30*0.1,0)</f>
        <v/>
      </c>
      <c r="K30" s="31">
        <f>G30+J30</f>
        <v/>
      </c>
      <c r="L30" s="31" t="n"/>
      <c r="M30" s="31">
        <f>SUM(L4:L30)</f>
        <v/>
      </c>
      <c r="N30" s="31">
        <f>IF(L30=0,"",ROUND(G30/L30,0))</f>
        <v/>
      </c>
      <c r="O30" s="31" t="n"/>
      <c r="P30" s="31">
        <f>SUM(O4:O30)</f>
        <v/>
      </c>
      <c r="Q30" s="31" t="n"/>
      <c r="R30" s="31" t="n"/>
      <c r="S30" s="31" t="n"/>
      <c r="T30" s="31">
        <f>Q30+R30+S30</f>
        <v/>
      </c>
      <c r="U30" s="31">
        <f>SUM(T4:T30)</f>
        <v/>
      </c>
      <c r="V30" s="33">
        <f>IF(SUM(K4:K30)=0,"",U30/SUM(K4:K30))</f>
        <v/>
      </c>
    </row>
    <row r="31" ht="18" customHeight="1">
      <c r="A31" s="14" t="n">
        <v>46384</v>
      </c>
      <c r="B31" s="15" t="inlineStr">
        <is>
          <t>月</t>
        </is>
      </c>
      <c r="C31" s="15" t="n"/>
      <c r="D31" s="16" t="n"/>
      <c r="E31" s="17" t="n"/>
      <c r="F31" s="17">
        <f>SUM(E4:E31)</f>
        <v/>
      </c>
      <c r="G31" s="17" t="n"/>
      <c r="H31" s="17">
        <f>SUM(G4:G31)</f>
        <v/>
      </c>
      <c r="I31" s="18">
        <f>IF(E31=0,"",G31/E31)</f>
        <v/>
      </c>
      <c r="J31" s="17">
        <f>ROUND(G31*0.1,0)</f>
        <v/>
      </c>
      <c r="K31" s="17">
        <f>G31+J31</f>
        <v/>
      </c>
      <c r="L31" s="17" t="n"/>
      <c r="M31" s="17">
        <f>SUM(L4:L31)</f>
        <v/>
      </c>
      <c r="N31" s="17">
        <f>IF(L31=0,"",ROUND(G31/L31,0))</f>
        <v/>
      </c>
      <c r="O31" s="17" t="n"/>
      <c r="P31" s="17">
        <f>SUM(O4:O31)</f>
        <v/>
      </c>
      <c r="Q31" s="17" t="n"/>
      <c r="R31" s="17" t="n"/>
      <c r="S31" s="17" t="n"/>
      <c r="T31" s="17">
        <f>Q31+R31+S31</f>
        <v/>
      </c>
      <c r="U31" s="17">
        <f>SUM(T4:T31)</f>
        <v/>
      </c>
      <c r="V31" s="19">
        <f>IF(SUM(K4:K31)=0,"",U31/SUM(K4:K31))</f>
        <v/>
      </c>
    </row>
    <row r="32" ht="18" customHeight="1">
      <c r="A32" s="8" t="n">
        <v>46385</v>
      </c>
      <c r="B32" s="9" t="inlineStr">
        <is>
          <t>火</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14" t="n">
        <v>46386</v>
      </c>
      <c r="B33" s="15" t="inlineStr">
        <is>
          <t>水</t>
        </is>
      </c>
      <c r="C33" s="15" t="n"/>
      <c r="D33" s="16" t="n"/>
      <c r="E33" s="17" t="n"/>
      <c r="F33" s="17">
        <f>SUM(E4:E33)</f>
        <v/>
      </c>
      <c r="G33" s="17" t="n"/>
      <c r="H33" s="17">
        <f>SUM(G4:G33)</f>
        <v/>
      </c>
      <c r="I33" s="18">
        <f>IF(E33=0,"",G33/E33)</f>
        <v/>
      </c>
      <c r="J33" s="17">
        <f>ROUND(G33*0.1,0)</f>
        <v/>
      </c>
      <c r="K33" s="17">
        <f>G33+J33</f>
        <v/>
      </c>
      <c r="L33" s="17" t="n"/>
      <c r="M33" s="17">
        <f>SUM(L4:L33)</f>
        <v/>
      </c>
      <c r="N33" s="17">
        <f>IF(L33=0,"",ROUND(G33/L33,0))</f>
        <v/>
      </c>
      <c r="O33" s="17" t="n"/>
      <c r="P33" s="17">
        <f>SUM(O4:O33)</f>
        <v/>
      </c>
      <c r="Q33" s="17" t="n"/>
      <c r="R33" s="17" t="n"/>
      <c r="S33" s="17" t="n"/>
      <c r="T33" s="17">
        <f>Q33+R33+S33</f>
        <v/>
      </c>
      <c r="U33" s="17">
        <f>SUM(T4:T33)</f>
        <v/>
      </c>
      <c r="V33" s="19">
        <f>IF(SUM(K4:K33)=0,"",U33/SUM(K4:K33))</f>
        <v/>
      </c>
    </row>
    <row r="34" ht="18" customHeight="1">
      <c r="A34" s="8" t="n">
        <v>46387</v>
      </c>
      <c r="B34" s="9" t="inlineStr">
        <is>
          <t>木</t>
        </is>
      </c>
      <c r="C34" s="9" t="n"/>
      <c r="D34" s="10" t="n"/>
      <c r="E34" s="11" t="n"/>
      <c r="F34" s="11">
        <f>SUM(E4:E34)</f>
        <v/>
      </c>
      <c r="G34" s="11" t="n"/>
      <c r="H34" s="11">
        <f>SUM(G4:G34)</f>
        <v/>
      </c>
      <c r="I34" s="12">
        <f>IF(E34=0,"",G34/E34)</f>
        <v/>
      </c>
      <c r="J34" s="11">
        <f>ROUND(G34*0.1,0)</f>
        <v/>
      </c>
      <c r="K34" s="11">
        <f>G34+J34</f>
        <v/>
      </c>
      <c r="L34" s="11" t="n"/>
      <c r="M34" s="11">
        <f>SUM(L4:L34)</f>
        <v/>
      </c>
      <c r="N34" s="11">
        <f>IF(L34=0,"",ROUND(G34/L34,0))</f>
        <v/>
      </c>
      <c r="O34" s="11" t="n"/>
      <c r="P34" s="11">
        <f>SUM(O4:O34)</f>
        <v/>
      </c>
      <c r="Q34" s="11" t="n"/>
      <c r="R34" s="11" t="n"/>
      <c r="S34" s="11" t="n"/>
      <c r="T34" s="11">
        <f>Q34+R34+S34</f>
        <v/>
      </c>
      <c r="U34" s="11">
        <f>SUM(T4:T34)</f>
        <v/>
      </c>
      <c r="V34" s="13">
        <f>IF(SUM(K4:K34)=0,"",U34/SUM(K4:K34))</f>
        <v/>
      </c>
    </row>
    <row r="35" ht="22" customHeight="1">
      <c r="A35" s="34" t="inlineStr">
        <is>
          <t>月　合　計</t>
        </is>
      </c>
      <c r="E35" s="35">
        <f>SUM(E4:E34)</f>
        <v/>
      </c>
      <c r="F35" s="35">
        <f>F34</f>
        <v/>
      </c>
      <c r="G35" s="35">
        <f>SUM(G4:G34)</f>
        <v/>
      </c>
      <c r="H35" s="35">
        <f>H34</f>
        <v/>
      </c>
      <c r="I35" s="36">
        <f>IF(E35=0,"",G35/E35)</f>
        <v/>
      </c>
      <c r="J35" s="35">
        <f>ROUND(G35*0.1,0)</f>
        <v/>
      </c>
      <c r="K35" s="35">
        <f>G35+J35</f>
        <v/>
      </c>
      <c r="L35" s="35">
        <f>SUM(L4:L34)</f>
        <v/>
      </c>
      <c r="M35" s="35">
        <f>M34</f>
        <v/>
      </c>
      <c r="N35" s="35">
        <f>IF(L35=0,"",ROUND(G35/L35,0))</f>
        <v/>
      </c>
      <c r="O35" s="35">
        <f>SUM(O4:O34)</f>
        <v/>
      </c>
      <c r="P35" s="35">
        <f>P34</f>
        <v/>
      </c>
      <c r="Q35" s="35">
        <f>SUM(Q4:Q34)</f>
        <v/>
      </c>
      <c r="R35" s="35">
        <f>SUM(R4:R34)</f>
        <v/>
      </c>
      <c r="S35" s="35">
        <f>SUM(S4:S34)</f>
        <v/>
      </c>
      <c r="T35" s="35">
        <f>SUM(T4:T34)</f>
        <v/>
      </c>
      <c r="U35" s="35">
        <f>U34</f>
        <v/>
      </c>
      <c r="V35" s="37">
        <f>IF(K35=0,"",T35/K35)</f>
        <v/>
      </c>
    </row>
    <row r="37">
      <c r="A37" s="38" t="inlineStr">
        <is>
          <t>【凡例】</t>
        </is>
      </c>
    </row>
    <row r="38">
      <c r="A38" s="39" t="inlineStr">
        <is>
          <t>■ 青背景：土曜日</t>
        </is>
      </c>
    </row>
    <row r="39">
      <c r="A39" s="40" t="inlineStr">
        <is>
          <t>■ 赤背景：日曜日</t>
        </is>
      </c>
    </row>
    <row r="40">
      <c r="A40" s="41" t="inlineStr">
        <is>
          <t>■ 緑ヘッダー：従業員入力欄</t>
        </is>
      </c>
    </row>
    <row r="41">
      <c r="A41" s="42" t="inlineStr">
        <is>
          <t>■ グレーヘッダー：自動計算欄（入力不要）</t>
        </is>
      </c>
    </row>
  </sheetData>
  <mergeCells count="7">
    <mergeCell ref="E2:J2"/>
    <mergeCell ref="Q2:U2"/>
    <mergeCell ref="A35:D35"/>
    <mergeCell ref="A1:V1"/>
    <mergeCell ref="L2:O2"/>
    <mergeCell ref="B2:B3"/>
    <mergeCell ref="A2:A3"/>
  </mergeCells>
  <dataValidations count="3">
    <dataValidation sqref="C4 C5 C6 C7 C8 C9 C10 C11 C12 C13 C14 C15 C16 C17 C18 C19 C20 C21 C22 C23 C24 C25 C26 C27 C28 C29 C30 C31 C32 C33 C34"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D34"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E34 G4 G5 G6 G7 G8 G9 G10 G11 G12 G13 G14 G15 G16 G17 G18 G19 G20 G21 G22 G23 G24 G25 G26 G27 G28 G29 G30 G31 G32 G33 G34 L4 L5 L6 L7 L8 L9 L10 L11 L12 L13 L14 L15 L16 L17 L18 L19 L20 L21 L22 L23 L24 L25 L26 L27 L28 L29 L30 L31 L32 L33 L34 O4 O5 O6 O7 O8 O9 O10 O11 O12 O13 O14 O15 O16 O17 O18 O19 O20 O21 O22 O23 O24 O25 O26 O27 O28 O29 O30 O31 O32 O33 O34 Q4 Q5 Q6 Q7 Q8 Q9 Q10 Q11 Q12 Q13 Q14 Q15 Q16 Q17 Q18 Q19 Q20 Q21 Q22 Q23 Q24 Q25 Q26 Q27 Q28 Q29 Q30 Q31 Q32 Q33 Q34 R4 R5 R6 R7 R8 R9 R10 R11 R12 R13 R14 R15 R16 R17 R18 R19 R20 R21 R22 R23 R24 R25 R26 R27 R28 R29 R30 R31 R32 R33 R34 S4 S5 S6 S7 S8 S9 S10 S11 S12 S13 S14 S15 S16 S17 S18 S19 S20 S21 S22 S23 S24 S25 S26 S27 S28 S29 S30 S31 S32 S33 S34"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10.xml><?xml version="1.0" encoding="utf-8"?>
<worksheet xmlns="http://schemas.openxmlformats.org/spreadsheetml/2006/main">
  <sheetPr>
    <outlinePr summaryBelow="1" summaryRight="1"/>
    <pageSetUpPr/>
  </sheetPr>
  <dimension ref="A1:X4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2027年 1月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46388</v>
      </c>
      <c r="B4" s="9" t="inlineStr">
        <is>
          <t>金</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20" t="n">
        <v>46389</v>
      </c>
      <c r="B5" s="21" t="inlineStr">
        <is>
          <t>土</t>
        </is>
      </c>
      <c r="C5" s="22" t="n"/>
      <c r="D5" s="23" t="n"/>
      <c r="E5" s="24" t="n"/>
      <c r="F5" s="24">
        <f>SUM(E4:E5)</f>
        <v/>
      </c>
      <c r="G5" s="24" t="n"/>
      <c r="H5" s="24">
        <f>SUM(G4:G5)</f>
        <v/>
      </c>
      <c r="I5" s="25">
        <f>IF(E5=0,"",G5/E5)</f>
        <v/>
      </c>
      <c r="J5" s="24">
        <f>ROUND(G5*0.1,0)</f>
        <v/>
      </c>
      <c r="K5" s="24">
        <f>G5+J5</f>
        <v/>
      </c>
      <c r="L5" s="24" t="n"/>
      <c r="M5" s="24">
        <f>SUM(L4:L5)</f>
        <v/>
      </c>
      <c r="N5" s="24">
        <f>IF(L5=0,"",ROUND(G5/L5,0))</f>
        <v/>
      </c>
      <c r="O5" s="24" t="n"/>
      <c r="P5" s="24">
        <f>SUM(O4:O5)</f>
        <v/>
      </c>
      <c r="Q5" s="24" t="n"/>
      <c r="R5" s="24" t="n"/>
      <c r="S5" s="24" t="n"/>
      <c r="T5" s="24">
        <f>Q5+R5+S5</f>
        <v/>
      </c>
      <c r="U5" s="24">
        <f>SUM(T4:T5)</f>
        <v/>
      </c>
      <c r="V5" s="26">
        <f>IF(SUM(K4:K5)=0,"",U5/SUM(K4:K5))</f>
        <v/>
      </c>
    </row>
    <row r="6" ht="18" customHeight="1">
      <c r="A6" s="27" t="n">
        <v>46390</v>
      </c>
      <c r="B6" s="28" t="inlineStr">
        <is>
          <t>日</t>
        </is>
      </c>
      <c r="C6" s="29" t="n"/>
      <c r="D6" s="30" t="n"/>
      <c r="E6" s="31" t="n"/>
      <c r="F6" s="31">
        <f>SUM(E4:E6)</f>
        <v/>
      </c>
      <c r="G6" s="31" t="n"/>
      <c r="H6" s="31">
        <f>SUM(G4:G6)</f>
        <v/>
      </c>
      <c r="I6" s="32">
        <f>IF(E6=0,"",G6/E6)</f>
        <v/>
      </c>
      <c r="J6" s="31">
        <f>ROUND(G6*0.1,0)</f>
        <v/>
      </c>
      <c r="K6" s="31">
        <f>G6+J6</f>
        <v/>
      </c>
      <c r="L6" s="31" t="n"/>
      <c r="M6" s="31">
        <f>SUM(L4:L6)</f>
        <v/>
      </c>
      <c r="N6" s="31">
        <f>IF(L6=0,"",ROUND(G6/L6,0))</f>
        <v/>
      </c>
      <c r="O6" s="31" t="n"/>
      <c r="P6" s="31">
        <f>SUM(O4:O6)</f>
        <v/>
      </c>
      <c r="Q6" s="31" t="n"/>
      <c r="R6" s="31" t="n"/>
      <c r="S6" s="31" t="n"/>
      <c r="T6" s="31">
        <f>Q6+R6+S6</f>
        <v/>
      </c>
      <c r="U6" s="31">
        <f>SUM(T4:T6)</f>
        <v/>
      </c>
      <c r="V6" s="33">
        <f>IF(SUM(K4:K6)=0,"",U6/SUM(K4:K6))</f>
        <v/>
      </c>
    </row>
    <row r="7" ht="18" customHeight="1">
      <c r="A7" s="14" t="n">
        <v>46391</v>
      </c>
      <c r="B7" s="15" t="inlineStr">
        <is>
          <t>月</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8" t="n">
        <v>46392</v>
      </c>
      <c r="B8" s="9" t="inlineStr">
        <is>
          <t>火</t>
        </is>
      </c>
      <c r="C8" s="9" t="n"/>
      <c r="D8" s="10" t="n"/>
      <c r="E8" s="11" t="n"/>
      <c r="F8" s="11">
        <f>SUM(E4:E8)</f>
        <v/>
      </c>
      <c r="G8" s="11" t="n"/>
      <c r="H8" s="11">
        <f>SUM(G4:G8)</f>
        <v/>
      </c>
      <c r="I8" s="12">
        <f>IF(E8=0,"",G8/E8)</f>
        <v/>
      </c>
      <c r="J8" s="11">
        <f>ROUND(G8*0.1,0)</f>
        <v/>
      </c>
      <c r="K8" s="11">
        <f>G8+J8</f>
        <v/>
      </c>
      <c r="L8" s="11" t="n"/>
      <c r="M8" s="11">
        <f>SUM(L4:L8)</f>
        <v/>
      </c>
      <c r="N8" s="11">
        <f>IF(L8=0,"",ROUND(G8/L8,0))</f>
        <v/>
      </c>
      <c r="O8" s="11" t="n"/>
      <c r="P8" s="11">
        <f>SUM(O4:O8)</f>
        <v/>
      </c>
      <c r="Q8" s="11" t="n"/>
      <c r="R8" s="11" t="n"/>
      <c r="S8" s="11" t="n"/>
      <c r="T8" s="11">
        <f>Q8+R8+S8</f>
        <v/>
      </c>
      <c r="U8" s="11">
        <f>SUM(T4:T8)</f>
        <v/>
      </c>
      <c r="V8" s="13">
        <f>IF(SUM(K4:K8)=0,"",U8/SUM(K4:K8))</f>
        <v/>
      </c>
    </row>
    <row r="9" ht="18" customHeight="1">
      <c r="A9" s="14" t="n">
        <v>46393</v>
      </c>
      <c r="B9" s="15" t="inlineStr">
        <is>
          <t>水</t>
        </is>
      </c>
      <c r="C9" s="15" t="n"/>
      <c r="D9" s="16" t="n"/>
      <c r="E9" s="17" t="n"/>
      <c r="F9" s="17">
        <f>SUM(E4:E9)</f>
        <v/>
      </c>
      <c r="G9" s="17" t="n"/>
      <c r="H9" s="17">
        <f>SUM(G4:G9)</f>
        <v/>
      </c>
      <c r="I9" s="18">
        <f>IF(E9=0,"",G9/E9)</f>
        <v/>
      </c>
      <c r="J9" s="17">
        <f>ROUND(G9*0.1,0)</f>
        <v/>
      </c>
      <c r="K9" s="17">
        <f>G9+J9</f>
        <v/>
      </c>
      <c r="L9" s="17" t="n"/>
      <c r="M9" s="17">
        <f>SUM(L4:L9)</f>
        <v/>
      </c>
      <c r="N9" s="17">
        <f>IF(L9=0,"",ROUND(G9/L9,0))</f>
        <v/>
      </c>
      <c r="O9" s="17" t="n"/>
      <c r="P9" s="17">
        <f>SUM(O4:O9)</f>
        <v/>
      </c>
      <c r="Q9" s="17" t="n"/>
      <c r="R9" s="17" t="n"/>
      <c r="S9" s="17" t="n"/>
      <c r="T9" s="17">
        <f>Q9+R9+S9</f>
        <v/>
      </c>
      <c r="U9" s="17">
        <f>SUM(T4:T9)</f>
        <v/>
      </c>
      <c r="V9" s="19">
        <f>IF(SUM(K4:K9)=0,"",U9/SUM(K4:K9))</f>
        <v/>
      </c>
    </row>
    <row r="10" ht="18" customHeight="1">
      <c r="A10" s="8" t="n">
        <v>46394</v>
      </c>
      <c r="B10" s="9" t="inlineStr">
        <is>
          <t>木</t>
        </is>
      </c>
      <c r="C10" s="9" t="n"/>
      <c r="D10" s="10" t="n"/>
      <c r="E10" s="11" t="n"/>
      <c r="F10" s="11">
        <f>SUM(E4:E10)</f>
        <v/>
      </c>
      <c r="G10" s="11" t="n"/>
      <c r="H10" s="11">
        <f>SUM(G4:G10)</f>
        <v/>
      </c>
      <c r="I10" s="12">
        <f>IF(E10=0,"",G10/E10)</f>
        <v/>
      </c>
      <c r="J10" s="11">
        <f>ROUND(G10*0.1,0)</f>
        <v/>
      </c>
      <c r="K10" s="11">
        <f>G10+J10</f>
        <v/>
      </c>
      <c r="L10" s="11" t="n"/>
      <c r="M10" s="11">
        <f>SUM(L4:L10)</f>
        <v/>
      </c>
      <c r="N10" s="11">
        <f>IF(L10=0,"",ROUND(G10/L10,0))</f>
        <v/>
      </c>
      <c r="O10" s="11" t="n"/>
      <c r="P10" s="11">
        <f>SUM(O4:O10)</f>
        <v/>
      </c>
      <c r="Q10" s="11" t="n"/>
      <c r="R10" s="11" t="n"/>
      <c r="S10" s="11" t="n"/>
      <c r="T10" s="11">
        <f>Q10+R10+S10</f>
        <v/>
      </c>
      <c r="U10" s="11">
        <f>SUM(T4:T10)</f>
        <v/>
      </c>
      <c r="V10" s="13">
        <f>IF(SUM(K4:K10)=0,"",U10/SUM(K4:K10))</f>
        <v/>
      </c>
    </row>
    <row r="11" ht="18" customHeight="1">
      <c r="A11" s="14" t="n">
        <v>46395</v>
      </c>
      <c r="B11" s="15" t="inlineStr">
        <is>
          <t>金</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20" t="n">
        <v>46396</v>
      </c>
      <c r="B12" s="21" t="inlineStr">
        <is>
          <t>土</t>
        </is>
      </c>
      <c r="C12" s="22" t="n"/>
      <c r="D12" s="23" t="n"/>
      <c r="E12" s="24" t="n"/>
      <c r="F12" s="24">
        <f>SUM(E4:E12)</f>
        <v/>
      </c>
      <c r="G12" s="24" t="n"/>
      <c r="H12" s="24">
        <f>SUM(G4:G12)</f>
        <v/>
      </c>
      <c r="I12" s="25">
        <f>IF(E12=0,"",G12/E12)</f>
        <v/>
      </c>
      <c r="J12" s="24">
        <f>ROUND(G12*0.1,0)</f>
        <v/>
      </c>
      <c r="K12" s="24">
        <f>G12+J12</f>
        <v/>
      </c>
      <c r="L12" s="24" t="n"/>
      <c r="M12" s="24">
        <f>SUM(L4:L12)</f>
        <v/>
      </c>
      <c r="N12" s="24">
        <f>IF(L12=0,"",ROUND(G12/L12,0))</f>
        <v/>
      </c>
      <c r="O12" s="24" t="n"/>
      <c r="P12" s="24">
        <f>SUM(O4:O12)</f>
        <v/>
      </c>
      <c r="Q12" s="24" t="n"/>
      <c r="R12" s="24" t="n"/>
      <c r="S12" s="24" t="n"/>
      <c r="T12" s="24">
        <f>Q12+R12+S12</f>
        <v/>
      </c>
      <c r="U12" s="24">
        <f>SUM(T4:T12)</f>
        <v/>
      </c>
      <c r="V12" s="26">
        <f>IF(SUM(K4:K12)=0,"",U12/SUM(K4:K12))</f>
        <v/>
      </c>
    </row>
    <row r="13" ht="18" customHeight="1">
      <c r="A13" s="27" t="n">
        <v>46397</v>
      </c>
      <c r="B13" s="28" t="inlineStr">
        <is>
          <t>日</t>
        </is>
      </c>
      <c r="C13" s="29" t="n"/>
      <c r="D13" s="30" t="n"/>
      <c r="E13" s="31" t="n"/>
      <c r="F13" s="31">
        <f>SUM(E4:E13)</f>
        <v/>
      </c>
      <c r="G13" s="31" t="n"/>
      <c r="H13" s="31">
        <f>SUM(G4:G13)</f>
        <v/>
      </c>
      <c r="I13" s="32">
        <f>IF(E13=0,"",G13/E13)</f>
        <v/>
      </c>
      <c r="J13" s="31">
        <f>ROUND(G13*0.1,0)</f>
        <v/>
      </c>
      <c r="K13" s="31">
        <f>G13+J13</f>
        <v/>
      </c>
      <c r="L13" s="31" t="n"/>
      <c r="M13" s="31">
        <f>SUM(L4:L13)</f>
        <v/>
      </c>
      <c r="N13" s="31">
        <f>IF(L13=0,"",ROUND(G13/L13,0))</f>
        <v/>
      </c>
      <c r="O13" s="31" t="n"/>
      <c r="P13" s="31">
        <f>SUM(O4:O13)</f>
        <v/>
      </c>
      <c r="Q13" s="31" t="n"/>
      <c r="R13" s="31" t="n"/>
      <c r="S13" s="31" t="n"/>
      <c r="T13" s="31">
        <f>Q13+R13+S13</f>
        <v/>
      </c>
      <c r="U13" s="31">
        <f>SUM(T4:T13)</f>
        <v/>
      </c>
      <c r="V13" s="33">
        <f>IF(SUM(K4:K13)=0,"",U13/SUM(K4:K13))</f>
        <v/>
      </c>
    </row>
    <row r="14" ht="18" customHeight="1">
      <c r="A14" s="8" t="n">
        <v>46398</v>
      </c>
      <c r="B14" s="9" t="inlineStr">
        <is>
          <t>月</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14" t="n">
        <v>46399</v>
      </c>
      <c r="B15" s="15" t="inlineStr">
        <is>
          <t>火</t>
        </is>
      </c>
      <c r="C15" s="15" t="n"/>
      <c r="D15" s="16" t="n"/>
      <c r="E15" s="17" t="n"/>
      <c r="F15" s="17">
        <f>SUM(E4:E15)</f>
        <v/>
      </c>
      <c r="G15" s="17" t="n"/>
      <c r="H15" s="17">
        <f>SUM(G4:G15)</f>
        <v/>
      </c>
      <c r="I15" s="18">
        <f>IF(E15=0,"",G15/E15)</f>
        <v/>
      </c>
      <c r="J15" s="17">
        <f>ROUND(G15*0.1,0)</f>
        <v/>
      </c>
      <c r="K15" s="17">
        <f>G15+J15</f>
        <v/>
      </c>
      <c r="L15" s="17" t="n"/>
      <c r="M15" s="17">
        <f>SUM(L4:L15)</f>
        <v/>
      </c>
      <c r="N15" s="17">
        <f>IF(L15=0,"",ROUND(G15/L15,0))</f>
        <v/>
      </c>
      <c r="O15" s="17" t="n"/>
      <c r="P15" s="17">
        <f>SUM(O4:O15)</f>
        <v/>
      </c>
      <c r="Q15" s="17" t="n"/>
      <c r="R15" s="17" t="n"/>
      <c r="S15" s="17" t="n"/>
      <c r="T15" s="17">
        <f>Q15+R15+S15</f>
        <v/>
      </c>
      <c r="U15" s="17">
        <f>SUM(T4:T15)</f>
        <v/>
      </c>
      <c r="V15" s="19">
        <f>IF(SUM(K4:K15)=0,"",U15/SUM(K4:K15))</f>
        <v/>
      </c>
    </row>
    <row r="16" ht="18" customHeight="1">
      <c r="A16" s="8" t="n">
        <v>46400</v>
      </c>
      <c r="B16" s="9" t="inlineStr">
        <is>
          <t>水</t>
        </is>
      </c>
      <c r="C16" s="9" t="n"/>
      <c r="D16" s="10" t="n"/>
      <c r="E16" s="11" t="n"/>
      <c r="F16" s="11">
        <f>SUM(E4:E16)</f>
        <v/>
      </c>
      <c r="G16" s="11" t="n"/>
      <c r="H16" s="11">
        <f>SUM(G4:G16)</f>
        <v/>
      </c>
      <c r="I16" s="12">
        <f>IF(E16=0,"",G16/E16)</f>
        <v/>
      </c>
      <c r="J16" s="11">
        <f>ROUND(G16*0.1,0)</f>
        <v/>
      </c>
      <c r="K16" s="11">
        <f>G16+J16</f>
        <v/>
      </c>
      <c r="L16" s="11" t="n"/>
      <c r="M16" s="11">
        <f>SUM(L4:L16)</f>
        <v/>
      </c>
      <c r="N16" s="11">
        <f>IF(L16=0,"",ROUND(G16/L16,0))</f>
        <v/>
      </c>
      <c r="O16" s="11" t="n"/>
      <c r="P16" s="11">
        <f>SUM(O4:O16)</f>
        <v/>
      </c>
      <c r="Q16" s="11" t="n"/>
      <c r="R16" s="11" t="n"/>
      <c r="S16" s="11" t="n"/>
      <c r="T16" s="11">
        <f>Q16+R16+S16</f>
        <v/>
      </c>
      <c r="U16" s="11">
        <f>SUM(T4:T16)</f>
        <v/>
      </c>
      <c r="V16" s="13">
        <f>IF(SUM(K4:K16)=0,"",U16/SUM(K4:K16))</f>
        <v/>
      </c>
    </row>
    <row r="17" ht="18" customHeight="1">
      <c r="A17" s="14" t="n">
        <v>46401</v>
      </c>
      <c r="B17" s="15" t="inlineStr">
        <is>
          <t>木</t>
        </is>
      </c>
      <c r="C17" s="15" t="n"/>
      <c r="D17" s="16" t="n"/>
      <c r="E17" s="17" t="n"/>
      <c r="F17" s="17">
        <f>SUM(E4:E17)</f>
        <v/>
      </c>
      <c r="G17" s="17" t="n"/>
      <c r="H17" s="17">
        <f>SUM(G4:G17)</f>
        <v/>
      </c>
      <c r="I17" s="18">
        <f>IF(E17=0,"",G17/E17)</f>
        <v/>
      </c>
      <c r="J17" s="17">
        <f>ROUND(G17*0.1,0)</f>
        <v/>
      </c>
      <c r="K17" s="17">
        <f>G17+J17</f>
        <v/>
      </c>
      <c r="L17" s="17" t="n"/>
      <c r="M17" s="17">
        <f>SUM(L4:L17)</f>
        <v/>
      </c>
      <c r="N17" s="17">
        <f>IF(L17=0,"",ROUND(G17/L17,0))</f>
        <v/>
      </c>
      <c r="O17" s="17" t="n"/>
      <c r="P17" s="17">
        <f>SUM(O4:O17)</f>
        <v/>
      </c>
      <c r="Q17" s="17" t="n"/>
      <c r="R17" s="17" t="n"/>
      <c r="S17" s="17" t="n"/>
      <c r="T17" s="17">
        <f>Q17+R17+S17</f>
        <v/>
      </c>
      <c r="U17" s="17">
        <f>SUM(T4:T17)</f>
        <v/>
      </c>
      <c r="V17" s="19">
        <f>IF(SUM(K4:K17)=0,"",U17/SUM(K4:K17))</f>
        <v/>
      </c>
    </row>
    <row r="18" ht="18" customHeight="1">
      <c r="A18" s="8" t="n">
        <v>46402</v>
      </c>
      <c r="B18" s="9" t="inlineStr">
        <is>
          <t>金</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20" t="n">
        <v>46403</v>
      </c>
      <c r="B19" s="21" t="inlineStr">
        <is>
          <t>土</t>
        </is>
      </c>
      <c r="C19" s="22" t="n"/>
      <c r="D19" s="23" t="n"/>
      <c r="E19" s="24" t="n"/>
      <c r="F19" s="24">
        <f>SUM(E4:E19)</f>
        <v/>
      </c>
      <c r="G19" s="24" t="n"/>
      <c r="H19" s="24">
        <f>SUM(G4:G19)</f>
        <v/>
      </c>
      <c r="I19" s="25">
        <f>IF(E19=0,"",G19/E19)</f>
        <v/>
      </c>
      <c r="J19" s="24">
        <f>ROUND(G19*0.1,0)</f>
        <v/>
      </c>
      <c r="K19" s="24">
        <f>G19+J19</f>
        <v/>
      </c>
      <c r="L19" s="24" t="n"/>
      <c r="M19" s="24">
        <f>SUM(L4:L19)</f>
        <v/>
      </c>
      <c r="N19" s="24">
        <f>IF(L19=0,"",ROUND(G19/L19,0))</f>
        <v/>
      </c>
      <c r="O19" s="24" t="n"/>
      <c r="P19" s="24">
        <f>SUM(O4:O19)</f>
        <v/>
      </c>
      <c r="Q19" s="24" t="n"/>
      <c r="R19" s="24" t="n"/>
      <c r="S19" s="24" t="n"/>
      <c r="T19" s="24">
        <f>Q19+R19+S19</f>
        <v/>
      </c>
      <c r="U19" s="24">
        <f>SUM(T4:T19)</f>
        <v/>
      </c>
      <c r="V19" s="26">
        <f>IF(SUM(K4:K19)=0,"",U19/SUM(K4:K19))</f>
        <v/>
      </c>
    </row>
    <row r="20" ht="18" customHeight="1">
      <c r="A20" s="27" t="n">
        <v>46404</v>
      </c>
      <c r="B20" s="28" t="inlineStr">
        <is>
          <t>日</t>
        </is>
      </c>
      <c r="C20" s="29" t="n"/>
      <c r="D20" s="30" t="n"/>
      <c r="E20" s="31" t="n"/>
      <c r="F20" s="31">
        <f>SUM(E4:E20)</f>
        <v/>
      </c>
      <c r="G20" s="31" t="n"/>
      <c r="H20" s="31">
        <f>SUM(G4:G20)</f>
        <v/>
      </c>
      <c r="I20" s="32">
        <f>IF(E20=0,"",G20/E20)</f>
        <v/>
      </c>
      <c r="J20" s="31">
        <f>ROUND(G20*0.1,0)</f>
        <v/>
      </c>
      <c r="K20" s="31">
        <f>G20+J20</f>
        <v/>
      </c>
      <c r="L20" s="31" t="n"/>
      <c r="M20" s="31">
        <f>SUM(L4:L20)</f>
        <v/>
      </c>
      <c r="N20" s="31">
        <f>IF(L20=0,"",ROUND(G20/L20,0))</f>
        <v/>
      </c>
      <c r="O20" s="31" t="n"/>
      <c r="P20" s="31">
        <f>SUM(O4:O20)</f>
        <v/>
      </c>
      <c r="Q20" s="31" t="n"/>
      <c r="R20" s="31" t="n"/>
      <c r="S20" s="31" t="n"/>
      <c r="T20" s="31">
        <f>Q20+R20+S20</f>
        <v/>
      </c>
      <c r="U20" s="31">
        <f>SUM(T4:T20)</f>
        <v/>
      </c>
      <c r="V20" s="33">
        <f>IF(SUM(K4:K20)=0,"",U20/SUM(K4:K20))</f>
        <v/>
      </c>
    </row>
    <row r="21" ht="18" customHeight="1">
      <c r="A21" s="14" t="n">
        <v>46405</v>
      </c>
      <c r="B21" s="15" t="inlineStr">
        <is>
          <t>月</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8" t="n">
        <v>46406</v>
      </c>
      <c r="B22" s="9" t="inlineStr">
        <is>
          <t>火</t>
        </is>
      </c>
      <c r="C22" s="9" t="n"/>
      <c r="D22" s="10" t="n"/>
      <c r="E22" s="11" t="n"/>
      <c r="F22" s="11">
        <f>SUM(E4:E22)</f>
        <v/>
      </c>
      <c r="G22" s="11" t="n"/>
      <c r="H22" s="11">
        <f>SUM(G4:G22)</f>
        <v/>
      </c>
      <c r="I22" s="12">
        <f>IF(E22=0,"",G22/E22)</f>
        <v/>
      </c>
      <c r="J22" s="11">
        <f>ROUND(G22*0.1,0)</f>
        <v/>
      </c>
      <c r="K22" s="11">
        <f>G22+J22</f>
        <v/>
      </c>
      <c r="L22" s="11" t="n"/>
      <c r="M22" s="11">
        <f>SUM(L4:L22)</f>
        <v/>
      </c>
      <c r="N22" s="11">
        <f>IF(L22=0,"",ROUND(G22/L22,0))</f>
        <v/>
      </c>
      <c r="O22" s="11" t="n"/>
      <c r="P22" s="11">
        <f>SUM(O4:O22)</f>
        <v/>
      </c>
      <c r="Q22" s="11" t="n"/>
      <c r="R22" s="11" t="n"/>
      <c r="S22" s="11" t="n"/>
      <c r="T22" s="11">
        <f>Q22+R22+S22</f>
        <v/>
      </c>
      <c r="U22" s="11">
        <f>SUM(T4:T22)</f>
        <v/>
      </c>
      <c r="V22" s="13">
        <f>IF(SUM(K4:K22)=0,"",U22/SUM(K4:K22))</f>
        <v/>
      </c>
    </row>
    <row r="23" ht="18" customHeight="1">
      <c r="A23" s="14" t="n">
        <v>46407</v>
      </c>
      <c r="B23" s="15" t="inlineStr">
        <is>
          <t>水</t>
        </is>
      </c>
      <c r="C23" s="15" t="n"/>
      <c r="D23" s="16" t="n"/>
      <c r="E23" s="17" t="n"/>
      <c r="F23" s="17">
        <f>SUM(E4:E23)</f>
        <v/>
      </c>
      <c r="G23" s="17" t="n"/>
      <c r="H23" s="17">
        <f>SUM(G4:G23)</f>
        <v/>
      </c>
      <c r="I23" s="18">
        <f>IF(E23=0,"",G23/E23)</f>
        <v/>
      </c>
      <c r="J23" s="17">
        <f>ROUND(G23*0.1,0)</f>
        <v/>
      </c>
      <c r="K23" s="17">
        <f>G23+J23</f>
        <v/>
      </c>
      <c r="L23" s="17" t="n"/>
      <c r="M23" s="17">
        <f>SUM(L4:L23)</f>
        <v/>
      </c>
      <c r="N23" s="17">
        <f>IF(L23=0,"",ROUND(G23/L23,0))</f>
        <v/>
      </c>
      <c r="O23" s="17" t="n"/>
      <c r="P23" s="17">
        <f>SUM(O4:O23)</f>
        <v/>
      </c>
      <c r="Q23" s="17" t="n"/>
      <c r="R23" s="17" t="n"/>
      <c r="S23" s="17" t="n"/>
      <c r="T23" s="17">
        <f>Q23+R23+S23</f>
        <v/>
      </c>
      <c r="U23" s="17">
        <f>SUM(T4:T23)</f>
        <v/>
      </c>
      <c r="V23" s="19">
        <f>IF(SUM(K4:K23)=0,"",U23/SUM(K4:K23))</f>
        <v/>
      </c>
    </row>
    <row r="24" ht="18" customHeight="1">
      <c r="A24" s="8" t="n">
        <v>46408</v>
      </c>
      <c r="B24" s="9" t="inlineStr">
        <is>
          <t>木</t>
        </is>
      </c>
      <c r="C24" s="9" t="n"/>
      <c r="D24" s="10" t="n"/>
      <c r="E24" s="11" t="n"/>
      <c r="F24" s="11">
        <f>SUM(E4:E24)</f>
        <v/>
      </c>
      <c r="G24" s="11" t="n"/>
      <c r="H24" s="11">
        <f>SUM(G4:G24)</f>
        <v/>
      </c>
      <c r="I24" s="12">
        <f>IF(E24=0,"",G24/E24)</f>
        <v/>
      </c>
      <c r="J24" s="11">
        <f>ROUND(G24*0.1,0)</f>
        <v/>
      </c>
      <c r="K24" s="11">
        <f>G24+J24</f>
        <v/>
      </c>
      <c r="L24" s="11" t="n"/>
      <c r="M24" s="11">
        <f>SUM(L4:L24)</f>
        <v/>
      </c>
      <c r="N24" s="11">
        <f>IF(L24=0,"",ROUND(G24/L24,0))</f>
        <v/>
      </c>
      <c r="O24" s="11" t="n"/>
      <c r="P24" s="11">
        <f>SUM(O4:O24)</f>
        <v/>
      </c>
      <c r="Q24" s="11" t="n"/>
      <c r="R24" s="11" t="n"/>
      <c r="S24" s="11" t="n"/>
      <c r="T24" s="11">
        <f>Q24+R24+S24</f>
        <v/>
      </c>
      <c r="U24" s="11">
        <f>SUM(T4:T24)</f>
        <v/>
      </c>
      <c r="V24" s="13">
        <f>IF(SUM(K4:K24)=0,"",U24/SUM(K4:K24))</f>
        <v/>
      </c>
    </row>
    <row r="25" ht="18" customHeight="1">
      <c r="A25" s="14" t="n">
        <v>46409</v>
      </c>
      <c r="B25" s="15" t="inlineStr">
        <is>
          <t>金</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20" t="n">
        <v>46410</v>
      </c>
      <c r="B26" s="21" t="inlineStr">
        <is>
          <t>土</t>
        </is>
      </c>
      <c r="C26" s="22" t="n"/>
      <c r="D26" s="23" t="n"/>
      <c r="E26" s="24" t="n"/>
      <c r="F26" s="24">
        <f>SUM(E4:E26)</f>
        <v/>
      </c>
      <c r="G26" s="24" t="n"/>
      <c r="H26" s="24">
        <f>SUM(G4:G26)</f>
        <v/>
      </c>
      <c r="I26" s="25">
        <f>IF(E26=0,"",G26/E26)</f>
        <v/>
      </c>
      <c r="J26" s="24">
        <f>ROUND(G26*0.1,0)</f>
        <v/>
      </c>
      <c r="K26" s="24">
        <f>G26+J26</f>
        <v/>
      </c>
      <c r="L26" s="24" t="n"/>
      <c r="M26" s="24">
        <f>SUM(L4:L26)</f>
        <v/>
      </c>
      <c r="N26" s="24">
        <f>IF(L26=0,"",ROUND(G26/L26,0))</f>
        <v/>
      </c>
      <c r="O26" s="24" t="n"/>
      <c r="P26" s="24">
        <f>SUM(O4:O26)</f>
        <v/>
      </c>
      <c r="Q26" s="24" t="n"/>
      <c r="R26" s="24" t="n"/>
      <c r="S26" s="24" t="n"/>
      <c r="T26" s="24">
        <f>Q26+R26+S26</f>
        <v/>
      </c>
      <c r="U26" s="24">
        <f>SUM(T4:T26)</f>
        <v/>
      </c>
      <c r="V26" s="26">
        <f>IF(SUM(K4:K26)=0,"",U26/SUM(K4:K26))</f>
        <v/>
      </c>
    </row>
    <row r="27" ht="18" customHeight="1">
      <c r="A27" s="27" t="n">
        <v>46411</v>
      </c>
      <c r="B27" s="28" t="inlineStr">
        <is>
          <t>日</t>
        </is>
      </c>
      <c r="C27" s="29" t="n"/>
      <c r="D27" s="30" t="n"/>
      <c r="E27" s="31" t="n"/>
      <c r="F27" s="31">
        <f>SUM(E4:E27)</f>
        <v/>
      </c>
      <c r="G27" s="31" t="n"/>
      <c r="H27" s="31">
        <f>SUM(G4:G27)</f>
        <v/>
      </c>
      <c r="I27" s="32">
        <f>IF(E27=0,"",G27/E27)</f>
        <v/>
      </c>
      <c r="J27" s="31">
        <f>ROUND(G27*0.1,0)</f>
        <v/>
      </c>
      <c r="K27" s="31">
        <f>G27+J27</f>
        <v/>
      </c>
      <c r="L27" s="31" t="n"/>
      <c r="M27" s="31">
        <f>SUM(L4:L27)</f>
        <v/>
      </c>
      <c r="N27" s="31">
        <f>IF(L27=0,"",ROUND(G27/L27,0))</f>
        <v/>
      </c>
      <c r="O27" s="31" t="n"/>
      <c r="P27" s="31">
        <f>SUM(O4:O27)</f>
        <v/>
      </c>
      <c r="Q27" s="31" t="n"/>
      <c r="R27" s="31" t="n"/>
      <c r="S27" s="31" t="n"/>
      <c r="T27" s="31">
        <f>Q27+R27+S27</f>
        <v/>
      </c>
      <c r="U27" s="31">
        <f>SUM(T4:T27)</f>
        <v/>
      </c>
      <c r="V27" s="33">
        <f>IF(SUM(K4:K27)=0,"",U27/SUM(K4:K27))</f>
        <v/>
      </c>
    </row>
    <row r="28" ht="18" customHeight="1">
      <c r="A28" s="8" t="n">
        <v>46412</v>
      </c>
      <c r="B28" s="9" t="inlineStr">
        <is>
          <t>月</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14" t="n">
        <v>46413</v>
      </c>
      <c r="B29" s="15" t="inlineStr">
        <is>
          <t>火</t>
        </is>
      </c>
      <c r="C29" s="15" t="n"/>
      <c r="D29" s="16" t="n"/>
      <c r="E29" s="17" t="n"/>
      <c r="F29" s="17">
        <f>SUM(E4:E29)</f>
        <v/>
      </c>
      <c r="G29" s="17" t="n"/>
      <c r="H29" s="17">
        <f>SUM(G4:G29)</f>
        <v/>
      </c>
      <c r="I29" s="18">
        <f>IF(E29=0,"",G29/E29)</f>
        <v/>
      </c>
      <c r="J29" s="17">
        <f>ROUND(G29*0.1,0)</f>
        <v/>
      </c>
      <c r="K29" s="17">
        <f>G29+J29</f>
        <v/>
      </c>
      <c r="L29" s="17" t="n"/>
      <c r="M29" s="17">
        <f>SUM(L4:L29)</f>
        <v/>
      </c>
      <c r="N29" s="17">
        <f>IF(L29=0,"",ROUND(G29/L29,0))</f>
        <v/>
      </c>
      <c r="O29" s="17" t="n"/>
      <c r="P29" s="17">
        <f>SUM(O4:O29)</f>
        <v/>
      </c>
      <c r="Q29" s="17" t="n"/>
      <c r="R29" s="17" t="n"/>
      <c r="S29" s="17" t="n"/>
      <c r="T29" s="17">
        <f>Q29+R29+S29</f>
        <v/>
      </c>
      <c r="U29" s="17">
        <f>SUM(T4:T29)</f>
        <v/>
      </c>
      <c r="V29" s="19">
        <f>IF(SUM(K4:K29)=0,"",U29/SUM(K4:K29))</f>
        <v/>
      </c>
    </row>
    <row r="30" ht="18" customHeight="1">
      <c r="A30" s="8" t="n">
        <v>46414</v>
      </c>
      <c r="B30" s="9" t="inlineStr">
        <is>
          <t>水</t>
        </is>
      </c>
      <c r="C30" s="9" t="n"/>
      <c r="D30" s="10" t="n"/>
      <c r="E30" s="11" t="n"/>
      <c r="F30" s="11">
        <f>SUM(E4:E30)</f>
        <v/>
      </c>
      <c r="G30" s="11" t="n"/>
      <c r="H30" s="11">
        <f>SUM(G4:G30)</f>
        <v/>
      </c>
      <c r="I30" s="12">
        <f>IF(E30=0,"",G30/E30)</f>
        <v/>
      </c>
      <c r="J30" s="11">
        <f>ROUND(G30*0.1,0)</f>
        <v/>
      </c>
      <c r="K30" s="11">
        <f>G30+J30</f>
        <v/>
      </c>
      <c r="L30" s="11" t="n"/>
      <c r="M30" s="11">
        <f>SUM(L4:L30)</f>
        <v/>
      </c>
      <c r="N30" s="11">
        <f>IF(L30=0,"",ROUND(G30/L30,0))</f>
        <v/>
      </c>
      <c r="O30" s="11" t="n"/>
      <c r="P30" s="11">
        <f>SUM(O4:O30)</f>
        <v/>
      </c>
      <c r="Q30" s="11" t="n"/>
      <c r="R30" s="11" t="n"/>
      <c r="S30" s="11" t="n"/>
      <c r="T30" s="11">
        <f>Q30+R30+S30</f>
        <v/>
      </c>
      <c r="U30" s="11">
        <f>SUM(T4:T30)</f>
        <v/>
      </c>
      <c r="V30" s="13">
        <f>IF(SUM(K4:K30)=0,"",U30/SUM(K4:K30))</f>
        <v/>
      </c>
    </row>
    <row r="31" ht="18" customHeight="1">
      <c r="A31" s="14" t="n">
        <v>46415</v>
      </c>
      <c r="B31" s="15" t="inlineStr">
        <is>
          <t>木</t>
        </is>
      </c>
      <c r="C31" s="15" t="n"/>
      <c r="D31" s="16" t="n"/>
      <c r="E31" s="17" t="n"/>
      <c r="F31" s="17">
        <f>SUM(E4:E31)</f>
        <v/>
      </c>
      <c r="G31" s="17" t="n"/>
      <c r="H31" s="17">
        <f>SUM(G4:G31)</f>
        <v/>
      </c>
      <c r="I31" s="18">
        <f>IF(E31=0,"",G31/E31)</f>
        <v/>
      </c>
      <c r="J31" s="17">
        <f>ROUND(G31*0.1,0)</f>
        <v/>
      </c>
      <c r="K31" s="17">
        <f>G31+J31</f>
        <v/>
      </c>
      <c r="L31" s="17" t="n"/>
      <c r="M31" s="17">
        <f>SUM(L4:L31)</f>
        <v/>
      </c>
      <c r="N31" s="17">
        <f>IF(L31=0,"",ROUND(G31/L31,0))</f>
        <v/>
      </c>
      <c r="O31" s="17" t="n"/>
      <c r="P31" s="17">
        <f>SUM(O4:O31)</f>
        <v/>
      </c>
      <c r="Q31" s="17" t="n"/>
      <c r="R31" s="17" t="n"/>
      <c r="S31" s="17" t="n"/>
      <c r="T31" s="17">
        <f>Q31+R31+S31</f>
        <v/>
      </c>
      <c r="U31" s="17">
        <f>SUM(T4:T31)</f>
        <v/>
      </c>
      <c r="V31" s="19">
        <f>IF(SUM(K4:K31)=0,"",U31/SUM(K4:K31))</f>
        <v/>
      </c>
    </row>
    <row r="32" ht="18" customHeight="1">
      <c r="A32" s="8" t="n">
        <v>46416</v>
      </c>
      <c r="B32" s="9" t="inlineStr">
        <is>
          <t>金</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20" t="n">
        <v>46417</v>
      </c>
      <c r="B33" s="21" t="inlineStr">
        <is>
          <t>土</t>
        </is>
      </c>
      <c r="C33" s="22" t="n"/>
      <c r="D33" s="23" t="n"/>
      <c r="E33" s="24" t="n"/>
      <c r="F33" s="24">
        <f>SUM(E4:E33)</f>
        <v/>
      </c>
      <c r="G33" s="24" t="n"/>
      <c r="H33" s="24">
        <f>SUM(G4:G33)</f>
        <v/>
      </c>
      <c r="I33" s="25">
        <f>IF(E33=0,"",G33/E33)</f>
        <v/>
      </c>
      <c r="J33" s="24">
        <f>ROUND(G33*0.1,0)</f>
        <v/>
      </c>
      <c r="K33" s="24">
        <f>G33+J33</f>
        <v/>
      </c>
      <c r="L33" s="24" t="n"/>
      <c r="M33" s="24">
        <f>SUM(L4:L33)</f>
        <v/>
      </c>
      <c r="N33" s="24">
        <f>IF(L33=0,"",ROUND(G33/L33,0))</f>
        <v/>
      </c>
      <c r="O33" s="24" t="n"/>
      <c r="P33" s="24">
        <f>SUM(O4:O33)</f>
        <v/>
      </c>
      <c r="Q33" s="24" t="n"/>
      <c r="R33" s="24" t="n"/>
      <c r="S33" s="24" t="n"/>
      <c r="T33" s="24">
        <f>Q33+R33+S33</f>
        <v/>
      </c>
      <c r="U33" s="24">
        <f>SUM(T4:T33)</f>
        <v/>
      </c>
      <c r="V33" s="26">
        <f>IF(SUM(K4:K33)=0,"",U33/SUM(K4:K33))</f>
        <v/>
      </c>
    </row>
    <row r="34" ht="18" customHeight="1">
      <c r="A34" s="27" t="n">
        <v>46418</v>
      </c>
      <c r="B34" s="28" t="inlineStr">
        <is>
          <t>日</t>
        </is>
      </c>
      <c r="C34" s="29" t="n"/>
      <c r="D34" s="30" t="n"/>
      <c r="E34" s="31" t="n"/>
      <c r="F34" s="31">
        <f>SUM(E4:E34)</f>
        <v/>
      </c>
      <c r="G34" s="31" t="n"/>
      <c r="H34" s="31">
        <f>SUM(G4:G34)</f>
        <v/>
      </c>
      <c r="I34" s="32">
        <f>IF(E34=0,"",G34/E34)</f>
        <v/>
      </c>
      <c r="J34" s="31">
        <f>ROUND(G34*0.1,0)</f>
        <v/>
      </c>
      <c r="K34" s="31">
        <f>G34+J34</f>
        <v/>
      </c>
      <c r="L34" s="31" t="n"/>
      <c r="M34" s="31">
        <f>SUM(L4:L34)</f>
        <v/>
      </c>
      <c r="N34" s="31">
        <f>IF(L34=0,"",ROUND(G34/L34,0))</f>
        <v/>
      </c>
      <c r="O34" s="31" t="n"/>
      <c r="P34" s="31">
        <f>SUM(O4:O34)</f>
        <v/>
      </c>
      <c r="Q34" s="31" t="n"/>
      <c r="R34" s="31" t="n"/>
      <c r="S34" s="31" t="n"/>
      <c r="T34" s="31">
        <f>Q34+R34+S34</f>
        <v/>
      </c>
      <c r="U34" s="31">
        <f>SUM(T4:T34)</f>
        <v/>
      </c>
      <c r="V34" s="33">
        <f>IF(SUM(K4:K34)=0,"",U34/SUM(K4:K34))</f>
        <v/>
      </c>
    </row>
    <row r="35" ht="22" customHeight="1">
      <c r="A35" s="34" t="inlineStr">
        <is>
          <t>月　合　計</t>
        </is>
      </c>
      <c r="E35" s="35">
        <f>SUM(E4:E34)</f>
        <v/>
      </c>
      <c r="F35" s="35">
        <f>F34</f>
        <v/>
      </c>
      <c r="G35" s="35">
        <f>SUM(G4:G34)</f>
        <v/>
      </c>
      <c r="H35" s="35">
        <f>H34</f>
        <v/>
      </c>
      <c r="I35" s="36">
        <f>IF(E35=0,"",G35/E35)</f>
        <v/>
      </c>
      <c r="J35" s="35">
        <f>ROUND(G35*0.1,0)</f>
        <v/>
      </c>
      <c r="K35" s="35">
        <f>G35+J35</f>
        <v/>
      </c>
      <c r="L35" s="35">
        <f>SUM(L4:L34)</f>
        <v/>
      </c>
      <c r="M35" s="35">
        <f>M34</f>
        <v/>
      </c>
      <c r="N35" s="35">
        <f>IF(L35=0,"",ROUND(G35/L35,0))</f>
        <v/>
      </c>
      <c r="O35" s="35">
        <f>SUM(O4:O34)</f>
        <v/>
      </c>
      <c r="P35" s="35">
        <f>P34</f>
        <v/>
      </c>
      <c r="Q35" s="35">
        <f>SUM(Q4:Q34)</f>
        <v/>
      </c>
      <c r="R35" s="35">
        <f>SUM(R4:R34)</f>
        <v/>
      </c>
      <c r="S35" s="35">
        <f>SUM(S4:S34)</f>
        <v/>
      </c>
      <c r="T35" s="35">
        <f>SUM(T4:T34)</f>
        <v/>
      </c>
      <c r="U35" s="35">
        <f>U34</f>
        <v/>
      </c>
      <c r="V35" s="37">
        <f>IF(K35=0,"",T35/K35)</f>
        <v/>
      </c>
    </row>
    <row r="37">
      <c r="A37" s="38" t="inlineStr">
        <is>
          <t>【凡例】</t>
        </is>
      </c>
    </row>
    <row r="38">
      <c r="A38" s="39" t="inlineStr">
        <is>
          <t>■ 青背景：土曜日</t>
        </is>
      </c>
    </row>
    <row r="39">
      <c r="A39" s="40" t="inlineStr">
        <is>
          <t>■ 赤背景：日曜日</t>
        </is>
      </c>
    </row>
    <row r="40">
      <c r="A40" s="41" t="inlineStr">
        <is>
          <t>■ 緑ヘッダー：従業員入力欄</t>
        </is>
      </c>
    </row>
    <row r="41">
      <c r="A41" s="42" t="inlineStr">
        <is>
          <t>■ グレーヘッダー：自動計算欄（入力不要）</t>
        </is>
      </c>
    </row>
  </sheetData>
  <mergeCells count="7">
    <mergeCell ref="E2:J2"/>
    <mergeCell ref="Q2:U2"/>
    <mergeCell ref="A35:D35"/>
    <mergeCell ref="A1:V1"/>
    <mergeCell ref="L2:O2"/>
    <mergeCell ref="B2:B3"/>
    <mergeCell ref="A2:A3"/>
  </mergeCells>
  <dataValidations count="3">
    <dataValidation sqref="C4 C5 C6 C7 C8 C9 C10 C11 C12 C13 C14 C15 C16 C17 C18 C19 C20 C21 C22 C23 C24 C25 C26 C27 C28 C29 C30 C31 C32 C33 C34"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D34"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E34 G4 G5 G6 G7 G8 G9 G10 G11 G12 G13 G14 G15 G16 G17 G18 G19 G20 G21 G22 G23 G24 G25 G26 G27 G28 G29 G30 G31 G32 G33 G34 L4 L5 L6 L7 L8 L9 L10 L11 L12 L13 L14 L15 L16 L17 L18 L19 L20 L21 L22 L23 L24 L25 L26 L27 L28 L29 L30 L31 L32 L33 L34 O4 O5 O6 O7 O8 O9 O10 O11 O12 O13 O14 O15 O16 O17 O18 O19 O20 O21 O22 O23 O24 O25 O26 O27 O28 O29 O30 O31 O32 O33 O34 Q4 Q5 Q6 Q7 Q8 Q9 Q10 Q11 Q12 Q13 Q14 Q15 Q16 Q17 Q18 Q19 Q20 Q21 Q22 Q23 Q24 Q25 Q26 Q27 Q28 Q29 Q30 Q31 Q32 Q33 Q34 R4 R5 R6 R7 R8 R9 R10 R11 R12 R13 R14 R15 R16 R17 R18 R19 R20 R21 R22 R23 R24 R25 R26 R27 R28 R29 R30 R31 R32 R33 R34 S4 S5 S6 S7 S8 S9 S10 S11 S12 S13 S14 S15 S16 S17 S18 S19 S20 S21 S22 S23 S24 S25 S26 S27 S28 S29 S30 S31 S32 S33 S34"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11.xml><?xml version="1.0" encoding="utf-8"?>
<worksheet xmlns="http://schemas.openxmlformats.org/spreadsheetml/2006/main">
  <sheetPr>
    <outlinePr summaryBelow="1" summaryRight="1"/>
    <pageSetUpPr/>
  </sheetPr>
  <dimension ref="A1:X38"/>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2027年 2月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46419</v>
      </c>
      <c r="B4" s="9" t="inlineStr">
        <is>
          <t>月</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14" t="n">
        <v>46420</v>
      </c>
      <c r="B5" s="15" t="inlineStr">
        <is>
          <t>火</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8" t="n">
        <v>46421</v>
      </c>
      <c r="B6" s="9" t="inlineStr">
        <is>
          <t>水</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14" t="n">
        <v>46422</v>
      </c>
      <c r="B7" s="15" t="inlineStr">
        <is>
          <t>木</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8" t="n">
        <v>46423</v>
      </c>
      <c r="B8" s="9" t="inlineStr">
        <is>
          <t>金</t>
        </is>
      </c>
      <c r="C8" s="9" t="n"/>
      <c r="D8" s="10" t="n"/>
      <c r="E8" s="11" t="n"/>
      <c r="F8" s="11">
        <f>SUM(E4:E8)</f>
        <v/>
      </c>
      <c r="G8" s="11" t="n"/>
      <c r="H8" s="11">
        <f>SUM(G4:G8)</f>
        <v/>
      </c>
      <c r="I8" s="12">
        <f>IF(E8=0,"",G8/E8)</f>
        <v/>
      </c>
      <c r="J8" s="11">
        <f>ROUND(G8*0.1,0)</f>
        <v/>
      </c>
      <c r="K8" s="11">
        <f>G8+J8</f>
        <v/>
      </c>
      <c r="L8" s="11" t="n"/>
      <c r="M8" s="11">
        <f>SUM(L4:L8)</f>
        <v/>
      </c>
      <c r="N8" s="11">
        <f>IF(L8=0,"",ROUND(G8/L8,0))</f>
        <v/>
      </c>
      <c r="O8" s="11" t="n"/>
      <c r="P8" s="11">
        <f>SUM(O4:O8)</f>
        <v/>
      </c>
      <c r="Q8" s="11" t="n"/>
      <c r="R8" s="11" t="n"/>
      <c r="S8" s="11" t="n"/>
      <c r="T8" s="11">
        <f>Q8+R8+S8</f>
        <v/>
      </c>
      <c r="U8" s="11">
        <f>SUM(T4:T8)</f>
        <v/>
      </c>
      <c r="V8" s="13">
        <f>IF(SUM(K4:K8)=0,"",U8/SUM(K4:K8))</f>
        <v/>
      </c>
    </row>
    <row r="9" ht="18" customHeight="1">
      <c r="A9" s="20" t="n">
        <v>46424</v>
      </c>
      <c r="B9" s="21" t="inlineStr">
        <is>
          <t>土</t>
        </is>
      </c>
      <c r="C9" s="22" t="n"/>
      <c r="D9" s="23" t="n"/>
      <c r="E9" s="24" t="n"/>
      <c r="F9" s="24">
        <f>SUM(E4:E9)</f>
        <v/>
      </c>
      <c r="G9" s="24" t="n"/>
      <c r="H9" s="24">
        <f>SUM(G4:G9)</f>
        <v/>
      </c>
      <c r="I9" s="25">
        <f>IF(E9=0,"",G9/E9)</f>
        <v/>
      </c>
      <c r="J9" s="24">
        <f>ROUND(G9*0.1,0)</f>
        <v/>
      </c>
      <c r="K9" s="24">
        <f>G9+J9</f>
        <v/>
      </c>
      <c r="L9" s="24" t="n"/>
      <c r="M9" s="24">
        <f>SUM(L4:L9)</f>
        <v/>
      </c>
      <c r="N9" s="24">
        <f>IF(L9=0,"",ROUND(G9/L9,0))</f>
        <v/>
      </c>
      <c r="O9" s="24" t="n"/>
      <c r="P9" s="24">
        <f>SUM(O4:O9)</f>
        <v/>
      </c>
      <c r="Q9" s="24" t="n"/>
      <c r="R9" s="24" t="n"/>
      <c r="S9" s="24" t="n"/>
      <c r="T9" s="24">
        <f>Q9+R9+S9</f>
        <v/>
      </c>
      <c r="U9" s="24">
        <f>SUM(T4:T9)</f>
        <v/>
      </c>
      <c r="V9" s="26">
        <f>IF(SUM(K4:K9)=0,"",U9/SUM(K4:K9))</f>
        <v/>
      </c>
    </row>
    <row r="10" ht="18" customHeight="1">
      <c r="A10" s="27" t="n">
        <v>46425</v>
      </c>
      <c r="B10" s="28" t="inlineStr">
        <is>
          <t>日</t>
        </is>
      </c>
      <c r="C10" s="29" t="n"/>
      <c r="D10" s="30" t="n"/>
      <c r="E10" s="31" t="n"/>
      <c r="F10" s="31">
        <f>SUM(E4:E10)</f>
        <v/>
      </c>
      <c r="G10" s="31" t="n"/>
      <c r="H10" s="31">
        <f>SUM(G4:G10)</f>
        <v/>
      </c>
      <c r="I10" s="32">
        <f>IF(E10=0,"",G10/E10)</f>
        <v/>
      </c>
      <c r="J10" s="31">
        <f>ROUND(G10*0.1,0)</f>
        <v/>
      </c>
      <c r="K10" s="31">
        <f>G10+J10</f>
        <v/>
      </c>
      <c r="L10" s="31" t="n"/>
      <c r="M10" s="31">
        <f>SUM(L4:L10)</f>
        <v/>
      </c>
      <c r="N10" s="31">
        <f>IF(L10=0,"",ROUND(G10/L10,0))</f>
        <v/>
      </c>
      <c r="O10" s="31" t="n"/>
      <c r="P10" s="31">
        <f>SUM(O4:O10)</f>
        <v/>
      </c>
      <c r="Q10" s="31" t="n"/>
      <c r="R10" s="31" t="n"/>
      <c r="S10" s="31" t="n"/>
      <c r="T10" s="31">
        <f>Q10+R10+S10</f>
        <v/>
      </c>
      <c r="U10" s="31">
        <f>SUM(T4:T10)</f>
        <v/>
      </c>
      <c r="V10" s="33">
        <f>IF(SUM(K4:K10)=0,"",U10/SUM(K4:K10))</f>
        <v/>
      </c>
    </row>
    <row r="11" ht="18" customHeight="1">
      <c r="A11" s="14" t="n">
        <v>46426</v>
      </c>
      <c r="B11" s="15" t="inlineStr">
        <is>
          <t>月</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8" t="n">
        <v>46427</v>
      </c>
      <c r="B12" s="9" t="inlineStr">
        <is>
          <t>火</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14" t="n">
        <v>46428</v>
      </c>
      <c r="B13" s="15" t="inlineStr">
        <is>
          <t>水</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8" t="n">
        <v>46429</v>
      </c>
      <c r="B14" s="9" t="inlineStr">
        <is>
          <t>木</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14" t="n">
        <v>46430</v>
      </c>
      <c r="B15" s="15" t="inlineStr">
        <is>
          <t>金</t>
        </is>
      </c>
      <c r="C15" s="15" t="n"/>
      <c r="D15" s="16" t="n"/>
      <c r="E15" s="17" t="n"/>
      <c r="F15" s="17">
        <f>SUM(E4:E15)</f>
        <v/>
      </c>
      <c r="G15" s="17" t="n"/>
      <c r="H15" s="17">
        <f>SUM(G4:G15)</f>
        <v/>
      </c>
      <c r="I15" s="18">
        <f>IF(E15=0,"",G15/E15)</f>
        <v/>
      </c>
      <c r="J15" s="17">
        <f>ROUND(G15*0.1,0)</f>
        <v/>
      </c>
      <c r="K15" s="17">
        <f>G15+J15</f>
        <v/>
      </c>
      <c r="L15" s="17" t="n"/>
      <c r="M15" s="17">
        <f>SUM(L4:L15)</f>
        <v/>
      </c>
      <c r="N15" s="17">
        <f>IF(L15=0,"",ROUND(G15/L15,0))</f>
        <v/>
      </c>
      <c r="O15" s="17" t="n"/>
      <c r="P15" s="17">
        <f>SUM(O4:O15)</f>
        <v/>
      </c>
      <c r="Q15" s="17" t="n"/>
      <c r="R15" s="17" t="n"/>
      <c r="S15" s="17" t="n"/>
      <c r="T15" s="17">
        <f>Q15+R15+S15</f>
        <v/>
      </c>
      <c r="U15" s="17">
        <f>SUM(T4:T15)</f>
        <v/>
      </c>
      <c r="V15" s="19">
        <f>IF(SUM(K4:K15)=0,"",U15/SUM(K4:K15))</f>
        <v/>
      </c>
    </row>
    <row r="16" ht="18" customHeight="1">
      <c r="A16" s="20" t="n">
        <v>46431</v>
      </c>
      <c r="B16" s="21" t="inlineStr">
        <is>
          <t>土</t>
        </is>
      </c>
      <c r="C16" s="22" t="n"/>
      <c r="D16" s="23" t="n"/>
      <c r="E16" s="24" t="n"/>
      <c r="F16" s="24">
        <f>SUM(E4:E16)</f>
        <v/>
      </c>
      <c r="G16" s="24" t="n"/>
      <c r="H16" s="24">
        <f>SUM(G4:G16)</f>
        <v/>
      </c>
      <c r="I16" s="25">
        <f>IF(E16=0,"",G16/E16)</f>
        <v/>
      </c>
      <c r="J16" s="24">
        <f>ROUND(G16*0.1,0)</f>
        <v/>
      </c>
      <c r="K16" s="24">
        <f>G16+J16</f>
        <v/>
      </c>
      <c r="L16" s="24" t="n"/>
      <c r="M16" s="24">
        <f>SUM(L4:L16)</f>
        <v/>
      </c>
      <c r="N16" s="24">
        <f>IF(L16=0,"",ROUND(G16/L16,0))</f>
        <v/>
      </c>
      <c r="O16" s="24" t="n"/>
      <c r="P16" s="24">
        <f>SUM(O4:O16)</f>
        <v/>
      </c>
      <c r="Q16" s="24" t="n"/>
      <c r="R16" s="24" t="n"/>
      <c r="S16" s="24" t="n"/>
      <c r="T16" s="24">
        <f>Q16+R16+S16</f>
        <v/>
      </c>
      <c r="U16" s="24">
        <f>SUM(T4:T16)</f>
        <v/>
      </c>
      <c r="V16" s="26">
        <f>IF(SUM(K4:K16)=0,"",U16/SUM(K4:K16))</f>
        <v/>
      </c>
    </row>
    <row r="17" ht="18" customHeight="1">
      <c r="A17" s="27" t="n">
        <v>46432</v>
      </c>
      <c r="B17" s="28" t="inlineStr">
        <is>
          <t>日</t>
        </is>
      </c>
      <c r="C17" s="29" t="n"/>
      <c r="D17" s="30" t="n"/>
      <c r="E17" s="31" t="n"/>
      <c r="F17" s="31">
        <f>SUM(E4:E17)</f>
        <v/>
      </c>
      <c r="G17" s="31" t="n"/>
      <c r="H17" s="31">
        <f>SUM(G4:G17)</f>
        <v/>
      </c>
      <c r="I17" s="32">
        <f>IF(E17=0,"",G17/E17)</f>
        <v/>
      </c>
      <c r="J17" s="31">
        <f>ROUND(G17*0.1,0)</f>
        <v/>
      </c>
      <c r="K17" s="31">
        <f>G17+J17</f>
        <v/>
      </c>
      <c r="L17" s="31" t="n"/>
      <c r="M17" s="31">
        <f>SUM(L4:L17)</f>
        <v/>
      </c>
      <c r="N17" s="31">
        <f>IF(L17=0,"",ROUND(G17/L17,0))</f>
        <v/>
      </c>
      <c r="O17" s="31" t="n"/>
      <c r="P17" s="31">
        <f>SUM(O4:O17)</f>
        <v/>
      </c>
      <c r="Q17" s="31" t="n"/>
      <c r="R17" s="31" t="n"/>
      <c r="S17" s="31" t="n"/>
      <c r="T17" s="31">
        <f>Q17+R17+S17</f>
        <v/>
      </c>
      <c r="U17" s="31">
        <f>SUM(T4:T17)</f>
        <v/>
      </c>
      <c r="V17" s="33">
        <f>IF(SUM(K4:K17)=0,"",U17/SUM(K4:K17))</f>
        <v/>
      </c>
    </row>
    <row r="18" ht="18" customHeight="1">
      <c r="A18" s="8" t="n">
        <v>46433</v>
      </c>
      <c r="B18" s="9" t="inlineStr">
        <is>
          <t>月</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14" t="n">
        <v>46434</v>
      </c>
      <c r="B19" s="15" t="inlineStr">
        <is>
          <t>火</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8" t="n">
        <v>46435</v>
      </c>
      <c r="B20" s="9" t="inlineStr">
        <is>
          <t>水</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14" t="n">
        <v>46436</v>
      </c>
      <c r="B21" s="15" t="inlineStr">
        <is>
          <t>木</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8" t="n">
        <v>46437</v>
      </c>
      <c r="B22" s="9" t="inlineStr">
        <is>
          <t>金</t>
        </is>
      </c>
      <c r="C22" s="9" t="n"/>
      <c r="D22" s="10" t="n"/>
      <c r="E22" s="11" t="n"/>
      <c r="F22" s="11">
        <f>SUM(E4:E22)</f>
        <v/>
      </c>
      <c r="G22" s="11" t="n"/>
      <c r="H22" s="11">
        <f>SUM(G4:G22)</f>
        <v/>
      </c>
      <c r="I22" s="12">
        <f>IF(E22=0,"",G22/E22)</f>
        <v/>
      </c>
      <c r="J22" s="11">
        <f>ROUND(G22*0.1,0)</f>
        <v/>
      </c>
      <c r="K22" s="11">
        <f>G22+J22</f>
        <v/>
      </c>
      <c r="L22" s="11" t="n"/>
      <c r="M22" s="11">
        <f>SUM(L4:L22)</f>
        <v/>
      </c>
      <c r="N22" s="11">
        <f>IF(L22=0,"",ROUND(G22/L22,0))</f>
        <v/>
      </c>
      <c r="O22" s="11" t="n"/>
      <c r="P22" s="11">
        <f>SUM(O4:O22)</f>
        <v/>
      </c>
      <c r="Q22" s="11" t="n"/>
      <c r="R22" s="11" t="n"/>
      <c r="S22" s="11" t="n"/>
      <c r="T22" s="11">
        <f>Q22+R22+S22</f>
        <v/>
      </c>
      <c r="U22" s="11">
        <f>SUM(T4:T22)</f>
        <v/>
      </c>
      <c r="V22" s="13">
        <f>IF(SUM(K4:K22)=0,"",U22/SUM(K4:K22))</f>
        <v/>
      </c>
    </row>
    <row r="23" ht="18" customHeight="1">
      <c r="A23" s="20" t="n">
        <v>46438</v>
      </c>
      <c r="B23" s="21" t="inlineStr">
        <is>
          <t>土</t>
        </is>
      </c>
      <c r="C23" s="22" t="n"/>
      <c r="D23" s="23" t="n"/>
      <c r="E23" s="24" t="n"/>
      <c r="F23" s="24">
        <f>SUM(E4:E23)</f>
        <v/>
      </c>
      <c r="G23" s="24" t="n"/>
      <c r="H23" s="24">
        <f>SUM(G4:G23)</f>
        <v/>
      </c>
      <c r="I23" s="25">
        <f>IF(E23=0,"",G23/E23)</f>
        <v/>
      </c>
      <c r="J23" s="24">
        <f>ROUND(G23*0.1,0)</f>
        <v/>
      </c>
      <c r="K23" s="24">
        <f>G23+J23</f>
        <v/>
      </c>
      <c r="L23" s="24" t="n"/>
      <c r="M23" s="24">
        <f>SUM(L4:L23)</f>
        <v/>
      </c>
      <c r="N23" s="24">
        <f>IF(L23=0,"",ROUND(G23/L23,0))</f>
        <v/>
      </c>
      <c r="O23" s="24" t="n"/>
      <c r="P23" s="24">
        <f>SUM(O4:O23)</f>
        <v/>
      </c>
      <c r="Q23" s="24" t="n"/>
      <c r="R23" s="24" t="n"/>
      <c r="S23" s="24" t="n"/>
      <c r="T23" s="24">
        <f>Q23+R23+S23</f>
        <v/>
      </c>
      <c r="U23" s="24">
        <f>SUM(T4:T23)</f>
        <v/>
      </c>
      <c r="V23" s="26">
        <f>IF(SUM(K4:K23)=0,"",U23/SUM(K4:K23))</f>
        <v/>
      </c>
    </row>
    <row r="24" ht="18" customHeight="1">
      <c r="A24" s="27" t="n">
        <v>46439</v>
      </c>
      <c r="B24" s="28" t="inlineStr">
        <is>
          <t>日</t>
        </is>
      </c>
      <c r="C24" s="29" t="n"/>
      <c r="D24" s="30" t="n"/>
      <c r="E24" s="31" t="n"/>
      <c r="F24" s="31">
        <f>SUM(E4:E24)</f>
        <v/>
      </c>
      <c r="G24" s="31" t="n"/>
      <c r="H24" s="31">
        <f>SUM(G4:G24)</f>
        <v/>
      </c>
      <c r="I24" s="32">
        <f>IF(E24=0,"",G24/E24)</f>
        <v/>
      </c>
      <c r="J24" s="31">
        <f>ROUND(G24*0.1,0)</f>
        <v/>
      </c>
      <c r="K24" s="31">
        <f>G24+J24</f>
        <v/>
      </c>
      <c r="L24" s="31" t="n"/>
      <c r="M24" s="31">
        <f>SUM(L4:L24)</f>
        <v/>
      </c>
      <c r="N24" s="31">
        <f>IF(L24=0,"",ROUND(G24/L24,0))</f>
        <v/>
      </c>
      <c r="O24" s="31" t="n"/>
      <c r="P24" s="31">
        <f>SUM(O4:O24)</f>
        <v/>
      </c>
      <c r="Q24" s="31" t="n"/>
      <c r="R24" s="31" t="n"/>
      <c r="S24" s="31" t="n"/>
      <c r="T24" s="31">
        <f>Q24+R24+S24</f>
        <v/>
      </c>
      <c r="U24" s="31">
        <f>SUM(T4:T24)</f>
        <v/>
      </c>
      <c r="V24" s="33">
        <f>IF(SUM(K4:K24)=0,"",U24/SUM(K4:K24))</f>
        <v/>
      </c>
    </row>
    <row r="25" ht="18" customHeight="1">
      <c r="A25" s="14" t="n">
        <v>46440</v>
      </c>
      <c r="B25" s="15" t="inlineStr">
        <is>
          <t>月</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8" t="n">
        <v>46441</v>
      </c>
      <c r="B26" s="9" t="inlineStr">
        <is>
          <t>火</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14" t="n">
        <v>46442</v>
      </c>
      <c r="B27" s="15" t="inlineStr">
        <is>
          <t>水</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8" t="n">
        <v>46443</v>
      </c>
      <c r="B28" s="9" t="inlineStr">
        <is>
          <t>木</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14" t="n">
        <v>46444</v>
      </c>
      <c r="B29" s="15" t="inlineStr">
        <is>
          <t>金</t>
        </is>
      </c>
      <c r="C29" s="15" t="n"/>
      <c r="D29" s="16" t="n"/>
      <c r="E29" s="17" t="n"/>
      <c r="F29" s="17">
        <f>SUM(E4:E29)</f>
        <v/>
      </c>
      <c r="G29" s="17" t="n"/>
      <c r="H29" s="17">
        <f>SUM(G4:G29)</f>
        <v/>
      </c>
      <c r="I29" s="18">
        <f>IF(E29=0,"",G29/E29)</f>
        <v/>
      </c>
      <c r="J29" s="17">
        <f>ROUND(G29*0.1,0)</f>
        <v/>
      </c>
      <c r="K29" s="17">
        <f>G29+J29</f>
        <v/>
      </c>
      <c r="L29" s="17" t="n"/>
      <c r="M29" s="17">
        <f>SUM(L4:L29)</f>
        <v/>
      </c>
      <c r="N29" s="17">
        <f>IF(L29=0,"",ROUND(G29/L29,0))</f>
        <v/>
      </c>
      <c r="O29" s="17" t="n"/>
      <c r="P29" s="17">
        <f>SUM(O4:O29)</f>
        <v/>
      </c>
      <c r="Q29" s="17" t="n"/>
      <c r="R29" s="17" t="n"/>
      <c r="S29" s="17" t="n"/>
      <c r="T29" s="17">
        <f>Q29+R29+S29</f>
        <v/>
      </c>
      <c r="U29" s="17">
        <f>SUM(T4:T29)</f>
        <v/>
      </c>
      <c r="V29" s="19">
        <f>IF(SUM(K4:K29)=0,"",U29/SUM(K4:K29))</f>
        <v/>
      </c>
    </row>
    <row r="30" ht="18" customHeight="1">
      <c r="A30" s="20" t="n">
        <v>46445</v>
      </c>
      <c r="B30" s="21" t="inlineStr">
        <is>
          <t>土</t>
        </is>
      </c>
      <c r="C30" s="22" t="n"/>
      <c r="D30" s="23" t="n"/>
      <c r="E30" s="24" t="n"/>
      <c r="F30" s="24">
        <f>SUM(E4:E30)</f>
        <v/>
      </c>
      <c r="G30" s="24" t="n"/>
      <c r="H30" s="24">
        <f>SUM(G4:G30)</f>
        <v/>
      </c>
      <c r="I30" s="25">
        <f>IF(E30=0,"",G30/E30)</f>
        <v/>
      </c>
      <c r="J30" s="24">
        <f>ROUND(G30*0.1,0)</f>
        <v/>
      </c>
      <c r="K30" s="24">
        <f>G30+J30</f>
        <v/>
      </c>
      <c r="L30" s="24" t="n"/>
      <c r="M30" s="24">
        <f>SUM(L4:L30)</f>
        <v/>
      </c>
      <c r="N30" s="24">
        <f>IF(L30=0,"",ROUND(G30/L30,0))</f>
        <v/>
      </c>
      <c r="O30" s="24" t="n"/>
      <c r="P30" s="24">
        <f>SUM(O4:O30)</f>
        <v/>
      </c>
      <c r="Q30" s="24" t="n"/>
      <c r="R30" s="24" t="n"/>
      <c r="S30" s="24" t="n"/>
      <c r="T30" s="24">
        <f>Q30+R30+S30</f>
        <v/>
      </c>
      <c r="U30" s="24">
        <f>SUM(T4:T30)</f>
        <v/>
      </c>
      <c r="V30" s="26">
        <f>IF(SUM(K4:K30)=0,"",U30/SUM(K4:K30))</f>
        <v/>
      </c>
    </row>
    <row r="31" ht="18" customHeight="1">
      <c r="A31" s="27" t="n">
        <v>46446</v>
      </c>
      <c r="B31" s="28" t="inlineStr">
        <is>
          <t>日</t>
        </is>
      </c>
      <c r="C31" s="29" t="n"/>
      <c r="D31" s="30" t="n"/>
      <c r="E31" s="31" t="n"/>
      <c r="F31" s="31">
        <f>SUM(E4:E31)</f>
        <v/>
      </c>
      <c r="G31" s="31" t="n"/>
      <c r="H31" s="31">
        <f>SUM(G4:G31)</f>
        <v/>
      </c>
      <c r="I31" s="32">
        <f>IF(E31=0,"",G31/E31)</f>
        <v/>
      </c>
      <c r="J31" s="31">
        <f>ROUND(G31*0.1,0)</f>
        <v/>
      </c>
      <c r="K31" s="31">
        <f>G31+J31</f>
        <v/>
      </c>
      <c r="L31" s="31" t="n"/>
      <c r="M31" s="31">
        <f>SUM(L4:L31)</f>
        <v/>
      </c>
      <c r="N31" s="31">
        <f>IF(L31=0,"",ROUND(G31/L31,0))</f>
        <v/>
      </c>
      <c r="O31" s="31" t="n"/>
      <c r="P31" s="31">
        <f>SUM(O4:O31)</f>
        <v/>
      </c>
      <c r="Q31" s="31" t="n"/>
      <c r="R31" s="31" t="n"/>
      <c r="S31" s="31" t="n"/>
      <c r="T31" s="31">
        <f>Q31+R31+S31</f>
        <v/>
      </c>
      <c r="U31" s="31">
        <f>SUM(T4:T31)</f>
        <v/>
      </c>
      <c r="V31" s="33">
        <f>IF(SUM(K4:K31)=0,"",U31/SUM(K4:K31))</f>
        <v/>
      </c>
    </row>
    <row r="32" ht="22" customHeight="1">
      <c r="A32" s="34" t="inlineStr">
        <is>
          <t>月　合　計</t>
        </is>
      </c>
      <c r="E32" s="35">
        <f>SUM(E4:E31)</f>
        <v/>
      </c>
      <c r="F32" s="35">
        <f>F31</f>
        <v/>
      </c>
      <c r="G32" s="35">
        <f>SUM(G4:G31)</f>
        <v/>
      </c>
      <c r="H32" s="35">
        <f>H31</f>
        <v/>
      </c>
      <c r="I32" s="36">
        <f>IF(E32=0,"",G32/E32)</f>
        <v/>
      </c>
      <c r="J32" s="35">
        <f>ROUND(G32*0.1,0)</f>
        <v/>
      </c>
      <c r="K32" s="35">
        <f>G32+J32</f>
        <v/>
      </c>
      <c r="L32" s="35">
        <f>SUM(L4:L31)</f>
        <v/>
      </c>
      <c r="M32" s="35">
        <f>M31</f>
        <v/>
      </c>
      <c r="N32" s="35">
        <f>IF(L32=0,"",ROUND(G32/L32,0))</f>
        <v/>
      </c>
      <c r="O32" s="35">
        <f>SUM(O4:O31)</f>
        <v/>
      </c>
      <c r="P32" s="35">
        <f>P31</f>
        <v/>
      </c>
      <c r="Q32" s="35">
        <f>SUM(Q4:Q31)</f>
        <v/>
      </c>
      <c r="R32" s="35">
        <f>SUM(R4:R31)</f>
        <v/>
      </c>
      <c r="S32" s="35">
        <f>SUM(S4:S31)</f>
        <v/>
      </c>
      <c r="T32" s="35">
        <f>SUM(T4:T31)</f>
        <v/>
      </c>
      <c r="U32" s="35">
        <f>U31</f>
        <v/>
      </c>
      <c r="V32" s="37">
        <f>IF(K32=0,"",T32/K32)</f>
        <v/>
      </c>
    </row>
    <row r="34">
      <c r="A34" s="38" t="inlineStr">
        <is>
          <t>【凡例】</t>
        </is>
      </c>
    </row>
    <row r="35">
      <c r="A35" s="39" t="inlineStr">
        <is>
          <t>■ 青背景：土曜日</t>
        </is>
      </c>
    </row>
    <row r="36">
      <c r="A36" s="40" t="inlineStr">
        <is>
          <t>■ 赤背景：日曜日</t>
        </is>
      </c>
    </row>
    <row r="37">
      <c r="A37" s="41" t="inlineStr">
        <is>
          <t>■ 緑ヘッダー：従業員入力欄</t>
        </is>
      </c>
    </row>
    <row r="38">
      <c r="A38" s="42" t="inlineStr">
        <is>
          <t>■ グレーヘッダー：自動計算欄（入力不要）</t>
        </is>
      </c>
    </row>
  </sheetData>
  <mergeCells count="7">
    <mergeCell ref="E2:J2"/>
    <mergeCell ref="Q2:U2"/>
    <mergeCell ref="A1:V1"/>
    <mergeCell ref="L2:O2"/>
    <mergeCell ref="B2:B3"/>
    <mergeCell ref="A2:A3"/>
    <mergeCell ref="A32:D32"/>
  </mergeCells>
  <dataValidations count="3">
    <dataValidation sqref="C4 C5 C6 C7 C8 C9 C10 C11 C12 C13 C14 C15 C16 C17 C18 C19 C20 C21 C22 C23 C24 C25 C26 C27 C28 C29 C30 C31"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G4 G5 G6 G7 G8 G9 G10 G11 G12 G13 G14 G15 G16 G17 G18 G19 G20 G21 G22 G23 G24 G25 G26 G27 G28 G29 G30 G31 L4 L5 L6 L7 L8 L9 L10 L11 L12 L13 L14 L15 L16 L17 L18 L19 L20 L21 L22 L23 L24 L25 L26 L27 L28 L29 L30 L31 O4 O5 O6 O7 O8 O9 O10 O11 O12 O13 O14 O15 O16 O17 O18 O19 O20 O21 O22 O23 O24 O25 O26 O27 O28 O29 O30 O31 Q4 Q5 Q6 Q7 Q8 Q9 Q10 Q11 Q12 Q13 Q14 Q15 Q16 Q17 Q18 Q19 Q20 Q21 Q22 Q23 Q24 Q25 Q26 Q27 Q28 Q29 Q30 Q31 R4 R5 R6 R7 R8 R9 R10 R11 R12 R13 R14 R15 R16 R17 R18 R19 R20 R21 R22 R23 R24 R25 R26 R27 R28 R29 R30 R31 S4 S5 S6 S7 S8 S9 S10 S11 S12 S13 S14 S15 S16 S17 S18 S19 S20 S21 S22 S23 S24 S25 S26 S27 S28 S29 S30 S31"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xl/worksheets/sheet12.xml><?xml version="1.0" encoding="utf-8"?>
<worksheet xmlns="http://schemas.openxmlformats.org/spreadsheetml/2006/main">
  <sheetPr>
    <outlinePr summaryBelow="1" summaryRight="1"/>
    <pageSetUpPr/>
  </sheetPr>
  <dimension ref="A1:X4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5" customWidth="1" min="2" max="2"/>
    <col width="9" customWidth="1" min="3" max="3"/>
    <col width="8" customWidth="1" min="4" max="4"/>
    <col width="12" customWidth="1" min="5" max="5"/>
    <col width="12" customWidth="1" min="6" max="6"/>
    <col width="12" customWidth="1" min="7" max="7"/>
    <col width="12" customWidth="1" min="8" max="8"/>
    <col width="9" customWidth="1" min="9" max="9"/>
    <col width="10" customWidth="1" min="10" max="10"/>
    <col width="12" customWidth="1" min="11" max="11"/>
    <col width="9" customWidth="1" min="12" max="12"/>
    <col width="9" customWidth="1" min="13" max="13"/>
    <col width="10" customWidth="1" min="14" max="14"/>
    <col width="9" customWidth="1" min="15" max="15"/>
    <col width="10" customWidth="1" min="16" max="16"/>
    <col width="9" customWidth="1" min="17" max="17"/>
    <col width="9" customWidth="1" min="18" max="18"/>
    <col width="9" customWidth="1" min="19" max="19"/>
    <col width="9" customWidth="1" min="20" max="20"/>
    <col width="10" customWidth="1" min="21" max="21"/>
    <col width="8" customWidth="1" min="22" max="22"/>
  </cols>
  <sheetData>
    <row r="1" ht="32" customHeight="1">
      <c r="A1" s="1" t="inlineStr">
        <is>
          <t>2027年 3月　日次売上日報</t>
        </is>
      </c>
    </row>
    <row r="2" ht="18" customHeight="1">
      <c r="A2" s="2" t="inlineStr">
        <is>
          <t>日付</t>
        </is>
      </c>
      <c r="B2" s="2" t="inlineStr">
        <is>
          <t>曜日</t>
        </is>
      </c>
      <c r="C2" s="3" t="inlineStr">
        <is>
          <t>基本情報</t>
        </is>
      </c>
      <c r="E2" s="3" t="inlineStr">
        <is>
          <t>売　上</t>
        </is>
      </c>
      <c r="L2" s="3" t="inlineStr">
        <is>
          <t>客　数</t>
        </is>
      </c>
      <c r="Q2" s="3" t="inlineStr">
        <is>
          <t>処 分 率</t>
        </is>
      </c>
      <c r="X2" s="4" t="inlineStr">
        <is>
          <t>■ 緑ヘッダー：入力欄</t>
        </is>
      </c>
    </row>
    <row r="3" ht="30" customHeight="1">
      <c r="C3" s="5" t="inlineStr">
        <is>
          <t>天気</t>
        </is>
      </c>
      <c r="D3" s="5" t="inlineStr">
        <is>
          <t>気温(℃)</t>
        </is>
      </c>
      <c r="E3" s="5" t="inlineStr">
        <is>
          <t>前年実績</t>
        </is>
      </c>
      <c r="F3" s="6" t="inlineStr">
        <is>
          <t>前年累計</t>
        </is>
      </c>
      <c r="G3" s="5" t="inlineStr">
        <is>
          <t>本年実績
(税抜)</t>
        </is>
      </c>
      <c r="H3" s="6" t="inlineStr">
        <is>
          <t>本年累計</t>
        </is>
      </c>
      <c r="I3" s="6" t="inlineStr">
        <is>
          <t>前年対比</t>
        </is>
      </c>
      <c r="J3" s="6" t="inlineStr">
        <is>
          <t>消費税</t>
        </is>
      </c>
      <c r="K3" s="6" t="inlineStr">
        <is>
          <t>総売上</t>
        </is>
      </c>
      <c r="L3" s="5" t="inlineStr">
        <is>
          <t>客数(人)</t>
        </is>
      </c>
      <c r="M3" s="6" t="inlineStr">
        <is>
          <t>客数累計</t>
        </is>
      </c>
      <c r="N3" s="6" t="inlineStr">
        <is>
          <t>客単価(円)</t>
        </is>
      </c>
      <c r="O3" s="5" t="inlineStr">
        <is>
          <t>前年客数</t>
        </is>
      </c>
      <c r="P3" s="6" t="inlineStr">
        <is>
          <t>前年客数
累計</t>
        </is>
      </c>
      <c r="Q3" s="5" t="inlineStr">
        <is>
          <t>販売残</t>
        </is>
      </c>
      <c r="R3" s="5" t="inlineStr">
        <is>
          <t>製造ロス</t>
        </is>
      </c>
      <c r="S3" s="5" t="inlineStr">
        <is>
          <t>試食金額</t>
        </is>
      </c>
      <c r="T3" s="6" t="inlineStr">
        <is>
          <t>処分金額</t>
        </is>
      </c>
      <c r="U3" s="6" t="inlineStr">
        <is>
          <t>処分累計</t>
        </is>
      </c>
      <c r="V3" s="6" t="inlineStr">
        <is>
          <t>処分率</t>
        </is>
      </c>
      <c r="X3" s="7" t="inlineStr">
        <is>
          <t>■ グレーヘッダー：自動計算</t>
        </is>
      </c>
    </row>
    <row r="4" ht="18" customHeight="1">
      <c r="A4" s="8" t="n">
        <v>46447</v>
      </c>
      <c r="B4" s="9" t="inlineStr">
        <is>
          <t>月</t>
        </is>
      </c>
      <c r="C4" s="9" t="n"/>
      <c r="D4" s="10" t="n"/>
      <c r="E4" s="11" t="n"/>
      <c r="F4" s="11">
        <f>SUM(E4:E4)</f>
        <v/>
      </c>
      <c r="G4" s="11" t="n"/>
      <c r="H4" s="11">
        <f>SUM(G4:G4)</f>
        <v/>
      </c>
      <c r="I4" s="12">
        <f>IF(E4=0,"",G4/E4)</f>
        <v/>
      </c>
      <c r="J4" s="11">
        <f>ROUND(G4*0.1,0)</f>
        <v/>
      </c>
      <c r="K4" s="11">
        <f>G4+J4</f>
        <v/>
      </c>
      <c r="L4" s="11" t="n"/>
      <c r="M4" s="11">
        <f>SUM(L4:L4)</f>
        <v/>
      </c>
      <c r="N4" s="11">
        <f>IF(L4=0,"",ROUND(G4/L4,0))</f>
        <v/>
      </c>
      <c r="O4" s="11" t="n"/>
      <c r="P4" s="11">
        <f>SUM(O4:O4)</f>
        <v/>
      </c>
      <c r="Q4" s="11" t="n"/>
      <c r="R4" s="11" t="n"/>
      <c r="S4" s="11" t="n"/>
      <c r="T4" s="11">
        <f>Q4+R4+S4</f>
        <v/>
      </c>
      <c r="U4" s="11">
        <f>SUM(T4:T4)</f>
        <v/>
      </c>
      <c r="V4" s="13">
        <f>IF(SUM(K4:K4)=0,"",U4/SUM(K4:K4))</f>
        <v/>
      </c>
    </row>
    <row r="5" ht="18" customHeight="1">
      <c r="A5" s="14" t="n">
        <v>46448</v>
      </c>
      <c r="B5" s="15" t="inlineStr">
        <is>
          <t>火</t>
        </is>
      </c>
      <c r="C5" s="15" t="n"/>
      <c r="D5" s="16" t="n"/>
      <c r="E5" s="17" t="n"/>
      <c r="F5" s="17">
        <f>SUM(E4:E5)</f>
        <v/>
      </c>
      <c r="G5" s="17" t="n"/>
      <c r="H5" s="17">
        <f>SUM(G4:G5)</f>
        <v/>
      </c>
      <c r="I5" s="18">
        <f>IF(E5=0,"",G5/E5)</f>
        <v/>
      </c>
      <c r="J5" s="17">
        <f>ROUND(G5*0.1,0)</f>
        <v/>
      </c>
      <c r="K5" s="17">
        <f>G5+J5</f>
        <v/>
      </c>
      <c r="L5" s="17" t="n"/>
      <c r="M5" s="17">
        <f>SUM(L4:L5)</f>
        <v/>
      </c>
      <c r="N5" s="17">
        <f>IF(L5=0,"",ROUND(G5/L5,0))</f>
        <v/>
      </c>
      <c r="O5" s="17" t="n"/>
      <c r="P5" s="17">
        <f>SUM(O4:O5)</f>
        <v/>
      </c>
      <c r="Q5" s="17" t="n"/>
      <c r="R5" s="17" t="n"/>
      <c r="S5" s="17" t="n"/>
      <c r="T5" s="17">
        <f>Q5+R5+S5</f>
        <v/>
      </c>
      <c r="U5" s="17">
        <f>SUM(T4:T5)</f>
        <v/>
      </c>
      <c r="V5" s="19">
        <f>IF(SUM(K4:K5)=0,"",U5/SUM(K4:K5))</f>
        <v/>
      </c>
    </row>
    <row r="6" ht="18" customHeight="1">
      <c r="A6" s="8" t="n">
        <v>46449</v>
      </c>
      <c r="B6" s="9" t="inlineStr">
        <is>
          <t>水</t>
        </is>
      </c>
      <c r="C6" s="9" t="n"/>
      <c r="D6" s="10" t="n"/>
      <c r="E6" s="11" t="n"/>
      <c r="F6" s="11">
        <f>SUM(E4:E6)</f>
        <v/>
      </c>
      <c r="G6" s="11" t="n"/>
      <c r="H6" s="11">
        <f>SUM(G4:G6)</f>
        <v/>
      </c>
      <c r="I6" s="12">
        <f>IF(E6=0,"",G6/E6)</f>
        <v/>
      </c>
      <c r="J6" s="11">
        <f>ROUND(G6*0.1,0)</f>
        <v/>
      </c>
      <c r="K6" s="11">
        <f>G6+J6</f>
        <v/>
      </c>
      <c r="L6" s="11" t="n"/>
      <c r="M6" s="11">
        <f>SUM(L4:L6)</f>
        <v/>
      </c>
      <c r="N6" s="11">
        <f>IF(L6=0,"",ROUND(G6/L6,0))</f>
        <v/>
      </c>
      <c r="O6" s="11" t="n"/>
      <c r="P6" s="11">
        <f>SUM(O4:O6)</f>
        <v/>
      </c>
      <c r="Q6" s="11" t="n"/>
      <c r="R6" s="11" t="n"/>
      <c r="S6" s="11" t="n"/>
      <c r="T6" s="11">
        <f>Q6+R6+S6</f>
        <v/>
      </c>
      <c r="U6" s="11">
        <f>SUM(T4:T6)</f>
        <v/>
      </c>
      <c r="V6" s="13">
        <f>IF(SUM(K4:K6)=0,"",U6/SUM(K4:K6))</f>
        <v/>
      </c>
    </row>
    <row r="7" ht="18" customHeight="1">
      <c r="A7" s="14" t="n">
        <v>46450</v>
      </c>
      <c r="B7" s="15" t="inlineStr">
        <is>
          <t>木</t>
        </is>
      </c>
      <c r="C7" s="15" t="n"/>
      <c r="D7" s="16" t="n"/>
      <c r="E7" s="17" t="n"/>
      <c r="F7" s="17">
        <f>SUM(E4:E7)</f>
        <v/>
      </c>
      <c r="G7" s="17" t="n"/>
      <c r="H7" s="17">
        <f>SUM(G4:G7)</f>
        <v/>
      </c>
      <c r="I7" s="18">
        <f>IF(E7=0,"",G7/E7)</f>
        <v/>
      </c>
      <c r="J7" s="17">
        <f>ROUND(G7*0.1,0)</f>
        <v/>
      </c>
      <c r="K7" s="17">
        <f>G7+J7</f>
        <v/>
      </c>
      <c r="L7" s="17" t="n"/>
      <c r="M7" s="17">
        <f>SUM(L4:L7)</f>
        <v/>
      </c>
      <c r="N7" s="17">
        <f>IF(L7=0,"",ROUND(G7/L7,0))</f>
        <v/>
      </c>
      <c r="O7" s="17" t="n"/>
      <c r="P7" s="17">
        <f>SUM(O4:O7)</f>
        <v/>
      </c>
      <c r="Q7" s="17" t="n"/>
      <c r="R7" s="17" t="n"/>
      <c r="S7" s="17" t="n"/>
      <c r="T7" s="17">
        <f>Q7+R7+S7</f>
        <v/>
      </c>
      <c r="U7" s="17">
        <f>SUM(T4:T7)</f>
        <v/>
      </c>
      <c r="V7" s="19">
        <f>IF(SUM(K4:K7)=0,"",U7/SUM(K4:K7))</f>
        <v/>
      </c>
    </row>
    <row r="8" ht="18" customHeight="1">
      <c r="A8" s="8" t="n">
        <v>46451</v>
      </c>
      <c r="B8" s="9" t="inlineStr">
        <is>
          <t>金</t>
        </is>
      </c>
      <c r="C8" s="9" t="n"/>
      <c r="D8" s="10" t="n"/>
      <c r="E8" s="11" t="n"/>
      <c r="F8" s="11">
        <f>SUM(E4:E8)</f>
        <v/>
      </c>
      <c r="G8" s="11" t="n"/>
      <c r="H8" s="11">
        <f>SUM(G4:G8)</f>
        <v/>
      </c>
      <c r="I8" s="12">
        <f>IF(E8=0,"",G8/E8)</f>
        <v/>
      </c>
      <c r="J8" s="11">
        <f>ROUND(G8*0.1,0)</f>
        <v/>
      </c>
      <c r="K8" s="11">
        <f>G8+J8</f>
        <v/>
      </c>
      <c r="L8" s="11" t="n"/>
      <c r="M8" s="11">
        <f>SUM(L4:L8)</f>
        <v/>
      </c>
      <c r="N8" s="11">
        <f>IF(L8=0,"",ROUND(G8/L8,0))</f>
        <v/>
      </c>
      <c r="O8" s="11" t="n"/>
      <c r="P8" s="11">
        <f>SUM(O4:O8)</f>
        <v/>
      </c>
      <c r="Q8" s="11" t="n"/>
      <c r="R8" s="11" t="n"/>
      <c r="S8" s="11" t="n"/>
      <c r="T8" s="11">
        <f>Q8+R8+S8</f>
        <v/>
      </c>
      <c r="U8" s="11">
        <f>SUM(T4:T8)</f>
        <v/>
      </c>
      <c r="V8" s="13">
        <f>IF(SUM(K4:K8)=0,"",U8/SUM(K4:K8))</f>
        <v/>
      </c>
    </row>
    <row r="9" ht="18" customHeight="1">
      <c r="A9" s="20" t="n">
        <v>46452</v>
      </c>
      <c r="B9" s="21" t="inlineStr">
        <is>
          <t>土</t>
        </is>
      </c>
      <c r="C9" s="22" t="n"/>
      <c r="D9" s="23" t="n"/>
      <c r="E9" s="24" t="n"/>
      <c r="F9" s="24">
        <f>SUM(E4:E9)</f>
        <v/>
      </c>
      <c r="G9" s="24" t="n"/>
      <c r="H9" s="24">
        <f>SUM(G4:G9)</f>
        <v/>
      </c>
      <c r="I9" s="25">
        <f>IF(E9=0,"",G9/E9)</f>
        <v/>
      </c>
      <c r="J9" s="24">
        <f>ROUND(G9*0.1,0)</f>
        <v/>
      </c>
      <c r="K9" s="24">
        <f>G9+J9</f>
        <v/>
      </c>
      <c r="L9" s="24" t="n"/>
      <c r="M9" s="24">
        <f>SUM(L4:L9)</f>
        <v/>
      </c>
      <c r="N9" s="24">
        <f>IF(L9=0,"",ROUND(G9/L9,0))</f>
        <v/>
      </c>
      <c r="O9" s="24" t="n"/>
      <c r="P9" s="24">
        <f>SUM(O4:O9)</f>
        <v/>
      </c>
      <c r="Q9" s="24" t="n"/>
      <c r="R9" s="24" t="n"/>
      <c r="S9" s="24" t="n"/>
      <c r="T9" s="24">
        <f>Q9+R9+S9</f>
        <v/>
      </c>
      <c r="U9" s="24">
        <f>SUM(T4:T9)</f>
        <v/>
      </c>
      <c r="V9" s="26">
        <f>IF(SUM(K4:K9)=0,"",U9/SUM(K4:K9))</f>
        <v/>
      </c>
    </row>
    <row r="10" ht="18" customHeight="1">
      <c r="A10" s="27" t="n">
        <v>46453</v>
      </c>
      <c r="B10" s="28" t="inlineStr">
        <is>
          <t>日</t>
        </is>
      </c>
      <c r="C10" s="29" t="n"/>
      <c r="D10" s="30" t="n"/>
      <c r="E10" s="31" t="n"/>
      <c r="F10" s="31">
        <f>SUM(E4:E10)</f>
        <v/>
      </c>
      <c r="G10" s="31" t="n"/>
      <c r="H10" s="31">
        <f>SUM(G4:G10)</f>
        <v/>
      </c>
      <c r="I10" s="32">
        <f>IF(E10=0,"",G10/E10)</f>
        <v/>
      </c>
      <c r="J10" s="31">
        <f>ROUND(G10*0.1,0)</f>
        <v/>
      </c>
      <c r="K10" s="31">
        <f>G10+J10</f>
        <v/>
      </c>
      <c r="L10" s="31" t="n"/>
      <c r="M10" s="31">
        <f>SUM(L4:L10)</f>
        <v/>
      </c>
      <c r="N10" s="31">
        <f>IF(L10=0,"",ROUND(G10/L10,0))</f>
        <v/>
      </c>
      <c r="O10" s="31" t="n"/>
      <c r="P10" s="31">
        <f>SUM(O4:O10)</f>
        <v/>
      </c>
      <c r="Q10" s="31" t="n"/>
      <c r="R10" s="31" t="n"/>
      <c r="S10" s="31" t="n"/>
      <c r="T10" s="31">
        <f>Q10+R10+S10</f>
        <v/>
      </c>
      <c r="U10" s="31">
        <f>SUM(T4:T10)</f>
        <v/>
      </c>
      <c r="V10" s="33">
        <f>IF(SUM(K4:K10)=0,"",U10/SUM(K4:K10))</f>
        <v/>
      </c>
    </row>
    <row r="11" ht="18" customHeight="1">
      <c r="A11" s="14" t="n">
        <v>46454</v>
      </c>
      <c r="B11" s="15" t="inlineStr">
        <is>
          <t>月</t>
        </is>
      </c>
      <c r="C11" s="15" t="n"/>
      <c r="D11" s="16" t="n"/>
      <c r="E11" s="17" t="n"/>
      <c r="F11" s="17">
        <f>SUM(E4:E11)</f>
        <v/>
      </c>
      <c r="G11" s="17" t="n"/>
      <c r="H11" s="17">
        <f>SUM(G4:G11)</f>
        <v/>
      </c>
      <c r="I11" s="18">
        <f>IF(E11=0,"",G11/E11)</f>
        <v/>
      </c>
      <c r="J11" s="17">
        <f>ROUND(G11*0.1,0)</f>
        <v/>
      </c>
      <c r="K11" s="17">
        <f>G11+J11</f>
        <v/>
      </c>
      <c r="L11" s="17" t="n"/>
      <c r="M11" s="17">
        <f>SUM(L4:L11)</f>
        <v/>
      </c>
      <c r="N11" s="17">
        <f>IF(L11=0,"",ROUND(G11/L11,0))</f>
        <v/>
      </c>
      <c r="O11" s="17" t="n"/>
      <c r="P11" s="17">
        <f>SUM(O4:O11)</f>
        <v/>
      </c>
      <c r="Q11" s="17" t="n"/>
      <c r="R11" s="17" t="n"/>
      <c r="S11" s="17" t="n"/>
      <c r="T11" s="17">
        <f>Q11+R11+S11</f>
        <v/>
      </c>
      <c r="U11" s="17">
        <f>SUM(T4:T11)</f>
        <v/>
      </c>
      <c r="V11" s="19">
        <f>IF(SUM(K4:K11)=0,"",U11/SUM(K4:K11))</f>
        <v/>
      </c>
    </row>
    <row r="12" ht="18" customHeight="1">
      <c r="A12" s="8" t="n">
        <v>46455</v>
      </c>
      <c r="B12" s="9" t="inlineStr">
        <is>
          <t>火</t>
        </is>
      </c>
      <c r="C12" s="9" t="n"/>
      <c r="D12" s="10" t="n"/>
      <c r="E12" s="11" t="n"/>
      <c r="F12" s="11">
        <f>SUM(E4:E12)</f>
        <v/>
      </c>
      <c r="G12" s="11" t="n"/>
      <c r="H12" s="11">
        <f>SUM(G4:G12)</f>
        <v/>
      </c>
      <c r="I12" s="12">
        <f>IF(E12=0,"",G12/E12)</f>
        <v/>
      </c>
      <c r="J12" s="11">
        <f>ROUND(G12*0.1,0)</f>
        <v/>
      </c>
      <c r="K12" s="11">
        <f>G12+J12</f>
        <v/>
      </c>
      <c r="L12" s="11" t="n"/>
      <c r="M12" s="11">
        <f>SUM(L4:L12)</f>
        <v/>
      </c>
      <c r="N12" s="11">
        <f>IF(L12=0,"",ROUND(G12/L12,0))</f>
        <v/>
      </c>
      <c r="O12" s="11" t="n"/>
      <c r="P12" s="11">
        <f>SUM(O4:O12)</f>
        <v/>
      </c>
      <c r="Q12" s="11" t="n"/>
      <c r="R12" s="11" t="n"/>
      <c r="S12" s="11" t="n"/>
      <c r="T12" s="11">
        <f>Q12+R12+S12</f>
        <v/>
      </c>
      <c r="U12" s="11">
        <f>SUM(T4:T12)</f>
        <v/>
      </c>
      <c r="V12" s="13">
        <f>IF(SUM(K4:K12)=0,"",U12/SUM(K4:K12))</f>
        <v/>
      </c>
    </row>
    <row r="13" ht="18" customHeight="1">
      <c r="A13" s="14" t="n">
        <v>46456</v>
      </c>
      <c r="B13" s="15" t="inlineStr">
        <is>
          <t>水</t>
        </is>
      </c>
      <c r="C13" s="15" t="n"/>
      <c r="D13" s="16" t="n"/>
      <c r="E13" s="17" t="n"/>
      <c r="F13" s="17">
        <f>SUM(E4:E13)</f>
        <v/>
      </c>
      <c r="G13" s="17" t="n"/>
      <c r="H13" s="17">
        <f>SUM(G4:G13)</f>
        <v/>
      </c>
      <c r="I13" s="18">
        <f>IF(E13=0,"",G13/E13)</f>
        <v/>
      </c>
      <c r="J13" s="17">
        <f>ROUND(G13*0.1,0)</f>
        <v/>
      </c>
      <c r="K13" s="17">
        <f>G13+J13</f>
        <v/>
      </c>
      <c r="L13" s="17" t="n"/>
      <c r="M13" s="17">
        <f>SUM(L4:L13)</f>
        <v/>
      </c>
      <c r="N13" s="17">
        <f>IF(L13=0,"",ROUND(G13/L13,0))</f>
        <v/>
      </c>
      <c r="O13" s="17" t="n"/>
      <c r="P13" s="17">
        <f>SUM(O4:O13)</f>
        <v/>
      </c>
      <c r="Q13" s="17" t="n"/>
      <c r="R13" s="17" t="n"/>
      <c r="S13" s="17" t="n"/>
      <c r="T13" s="17">
        <f>Q13+R13+S13</f>
        <v/>
      </c>
      <c r="U13" s="17">
        <f>SUM(T4:T13)</f>
        <v/>
      </c>
      <c r="V13" s="19">
        <f>IF(SUM(K4:K13)=0,"",U13/SUM(K4:K13))</f>
        <v/>
      </c>
    </row>
    <row r="14" ht="18" customHeight="1">
      <c r="A14" s="8" t="n">
        <v>46457</v>
      </c>
      <c r="B14" s="9" t="inlineStr">
        <is>
          <t>木</t>
        </is>
      </c>
      <c r="C14" s="9" t="n"/>
      <c r="D14" s="10" t="n"/>
      <c r="E14" s="11" t="n"/>
      <c r="F14" s="11">
        <f>SUM(E4:E14)</f>
        <v/>
      </c>
      <c r="G14" s="11" t="n"/>
      <c r="H14" s="11">
        <f>SUM(G4:G14)</f>
        <v/>
      </c>
      <c r="I14" s="12">
        <f>IF(E14=0,"",G14/E14)</f>
        <v/>
      </c>
      <c r="J14" s="11">
        <f>ROUND(G14*0.1,0)</f>
        <v/>
      </c>
      <c r="K14" s="11">
        <f>G14+J14</f>
        <v/>
      </c>
      <c r="L14" s="11" t="n"/>
      <c r="M14" s="11">
        <f>SUM(L4:L14)</f>
        <v/>
      </c>
      <c r="N14" s="11">
        <f>IF(L14=0,"",ROUND(G14/L14,0))</f>
        <v/>
      </c>
      <c r="O14" s="11" t="n"/>
      <c r="P14" s="11">
        <f>SUM(O4:O14)</f>
        <v/>
      </c>
      <c r="Q14" s="11" t="n"/>
      <c r="R14" s="11" t="n"/>
      <c r="S14" s="11" t="n"/>
      <c r="T14" s="11">
        <f>Q14+R14+S14</f>
        <v/>
      </c>
      <c r="U14" s="11">
        <f>SUM(T4:T14)</f>
        <v/>
      </c>
      <c r="V14" s="13">
        <f>IF(SUM(K4:K14)=0,"",U14/SUM(K4:K14))</f>
        <v/>
      </c>
    </row>
    <row r="15" ht="18" customHeight="1">
      <c r="A15" s="14" t="n">
        <v>46458</v>
      </c>
      <c r="B15" s="15" t="inlineStr">
        <is>
          <t>金</t>
        </is>
      </c>
      <c r="C15" s="15" t="n"/>
      <c r="D15" s="16" t="n"/>
      <c r="E15" s="17" t="n"/>
      <c r="F15" s="17">
        <f>SUM(E4:E15)</f>
        <v/>
      </c>
      <c r="G15" s="17" t="n"/>
      <c r="H15" s="17">
        <f>SUM(G4:G15)</f>
        <v/>
      </c>
      <c r="I15" s="18">
        <f>IF(E15=0,"",G15/E15)</f>
        <v/>
      </c>
      <c r="J15" s="17">
        <f>ROUND(G15*0.1,0)</f>
        <v/>
      </c>
      <c r="K15" s="17">
        <f>G15+J15</f>
        <v/>
      </c>
      <c r="L15" s="17" t="n"/>
      <c r="M15" s="17">
        <f>SUM(L4:L15)</f>
        <v/>
      </c>
      <c r="N15" s="17">
        <f>IF(L15=0,"",ROUND(G15/L15,0))</f>
        <v/>
      </c>
      <c r="O15" s="17" t="n"/>
      <c r="P15" s="17">
        <f>SUM(O4:O15)</f>
        <v/>
      </c>
      <c r="Q15" s="17" t="n"/>
      <c r="R15" s="17" t="n"/>
      <c r="S15" s="17" t="n"/>
      <c r="T15" s="17">
        <f>Q15+R15+S15</f>
        <v/>
      </c>
      <c r="U15" s="17">
        <f>SUM(T4:T15)</f>
        <v/>
      </c>
      <c r="V15" s="19">
        <f>IF(SUM(K4:K15)=0,"",U15/SUM(K4:K15))</f>
        <v/>
      </c>
    </row>
    <row r="16" ht="18" customHeight="1">
      <c r="A16" s="20" t="n">
        <v>46459</v>
      </c>
      <c r="B16" s="21" t="inlineStr">
        <is>
          <t>土</t>
        </is>
      </c>
      <c r="C16" s="22" t="n"/>
      <c r="D16" s="23" t="n"/>
      <c r="E16" s="24" t="n"/>
      <c r="F16" s="24">
        <f>SUM(E4:E16)</f>
        <v/>
      </c>
      <c r="G16" s="24" t="n"/>
      <c r="H16" s="24">
        <f>SUM(G4:G16)</f>
        <v/>
      </c>
      <c r="I16" s="25">
        <f>IF(E16=0,"",G16/E16)</f>
        <v/>
      </c>
      <c r="J16" s="24">
        <f>ROUND(G16*0.1,0)</f>
        <v/>
      </c>
      <c r="K16" s="24">
        <f>G16+J16</f>
        <v/>
      </c>
      <c r="L16" s="24" t="n"/>
      <c r="M16" s="24">
        <f>SUM(L4:L16)</f>
        <v/>
      </c>
      <c r="N16" s="24">
        <f>IF(L16=0,"",ROUND(G16/L16,0))</f>
        <v/>
      </c>
      <c r="O16" s="24" t="n"/>
      <c r="P16" s="24">
        <f>SUM(O4:O16)</f>
        <v/>
      </c>
      <c r="Q16" s="24" t="n"/>
      <c r="R16" s="24" t="n"/>
      <c r="S16" s="24" t="n"/>
      <c r="T16" s="24">
        <f>Q16+R16+S16</f>
        <v/>
      </c>
      <c r="U16" s="24">
        <f>SUM(T4:T16)</f>
        <v/>
      </c>
      <c r="V16" s="26">
        <f>IF(SUM(K4:K16)=0,"",U16/SUM(K4:K16))</f>
        <v/>
      </c>
    </row>
    <row r="17" ht="18" customHeight="1">
      <c r="A17" s="27" t="n">
        <v>46460</v>
      </c>
      <c r="B17" s="28" t="inlineStr">
        <is>
          <t>日</t>
        </is>
      </c>
      <c r="C17" s="29" t="n"/>
      <c r="D17" s="30" t="n"/>
      <c r="E17" s="31" t="n"/>
      <c r="F17" s="31">
        <f>SUM(E4:E17)</f>
        <v/>
      </c>
      <c r="G17" s="31" t="n"/>
      <c r="H17" s="31">
        <f>SUM(G4:G17)</f>
        <v/>
      </c>
      <c r="I17" s="32">
        <f>IF(E17=0,"",G17/E17)</f>
        <v/>
      </c>
      <c r="J17" s="31">
        <f>ROUND(G17*0.1,0)</f>
        <v/>
      </c>
      <c r="K17" s="31">
        <f>G17+J17</f>
        <v/>
      </c>
      <c r="L17" s="31" t="n"/>
      <c r="M17" s="31">
        <f>SUM(L4:L17)</f>
        <v/>
      </c>
      <c r="N17" s="31">
        <f>IF(L17=0,"",ROUND(G17/L17,0))</f>
        <v/>
      </c>
      <c r="O17" s="31" t="n"/>
      <c r="P17" s="31">
        <f>SUM(O4:O17)</f>
        <v/>
      </c>
      <c r="Q17" s="31" t="n"/>
      <c r="R17" s="31" t="n"/>
      <c r="S17" s="31" t="n"/>
      <c r="T17" s="31">
        <f>Q17+R17+S17</f>
        <v/>
      </c>
      <c r="U17" s="31">
        <f>SUM(T4:T17)</f>
        <v/>
      </c>
      <c r="V17" s="33">
        <f>IF(SUM(K4:K17)=0,"",U17/SUM(K4:K17))</f>
        <v/>
      </c>
    </row>
    <row r="18" ht="18" customHeight="1">
      <c r="A18" s="8" t="n">
        <v>46461</v>
      </c>
      <c r="B18" s="9" t="inlineStr">
        <is>
          <t>月</t>
        </is>
      </c>
      <c r="C18" s="9" t="n"/>
      <c r="D18" s="10" t="n"/>
      <c r="E18" s="11" t="n"/>
      <c r="F18" s="11">
        <f>SUM(E4:E18)</f>
        <v/>
      </c>
      <c r="G18" s="11" t="n"/>
      <c r="H18" s="11">
        <f>SUM(G4:G18)</f>
        <v/>
      </c>
      <c r="I18" s="12">
        <f>IF(E18=0,"",G18/E18)</f>
        <v/>
      </c>
      <c r="J18" s="11">
        <f>ROUND(G18*0.1,0)</f>
        <v/>
      </c>
      <c r="K18" s="11">
        <f>G18+J18</f>
        <v/>
      </c>
      <c r="L18" s="11" t="n"/>
      <c r="M18" s="11">
        <f>SUM(L4:L18)</f>
        <v/>
      </c>
      <c r="N18" s="11">
        <f>IF(L18=0,"",ROUND(G18/L18,0))</f>
        <v/>
      </c>
      <c r="O18" s="11" t="n"/>
      <c r="P18" s="11">
        <f>SUM(O4:O18)</f>
        <v/>
      </c>
      <c r="Q18" s="11" t="n"/>
      <c r="R18" s="11" t="n"/>
      <c r="S18" s="11" t="n"/>
      <c r="T18" s="11">
        <f>Q18+R18+S18</f>
        <v/>
      </c>
      <c r="U18" s="11">
        <f>SUM(T4:T18)</f>
        <v/>
      </c>
      <c r="V18" s="13">
        <f>IF(SUM(K4:K18)=0,"",U18/SUM(K4:K18))</f>
        <v/>
      </c>
    </row>
    <row r="19" ht="18" customHeight="1">
      <c r="A19" s="14" t="n">
        <v>46462</v>
      </c>
      <c r="B19" s="15" t="inlineStr">
        <is>
          <t>火</t>
        </is>
      </c>
      <c r="C19" s="15" t="n"/>
      <c r="D19" s="16" t="n"/>
      <c r="E19" s="17" t="n"/>
      <c r="F19" s="17">
        <f>SUM(E4:E19)</f>
        <v/>
      </c>
      <c r="G19" s="17" t="n"/>
      <c r="H19" s="17">
        <f>SUM(G4:G19)</f>
        <v/>
      </c>
      <c r="I19" s="18">
        <f>IF(E19=0,"",G19/E19)</f>
        <v/>
      </c>
      <c r="J19" s="17">
        <f>ROUND(G19*0.1,0)</f>
        <v/>
      </c>
      <c r="K19" s="17">
        <f>G19+J19</f>
        <v/>
      </c>
      <c r="L19" s="17" t="n"/>
      <c r="M19" s="17">
        <f>SUM(L4:L19)</f>
        <v/>
      </c>
      <c r="N19" s="17">
        <f>IF(L19=0,"",ROUND(G19/L19,0))</f>
        <v/>
      </c>
      <c r="O19" s="17" t="n"/>
      <c r="P19" s="17">
        <f>SUM(O4:O19)</f>
        <v/>
      </c>
      <c r="Q19" s="17" t="n"/>
      <c r="R19" s="17" t="n"/>
      <c r="S19" s="17" t="n"/>
      <c r="T19" s="17">
        <f>Q19+R19+S19</f>
        <v/>
      </c>
      <c r="U19" s="17">
        <f>SUM(T4:T19)</f>
        <v/>
      </c>
      <c r="V19" s="19">
        <f>IF(SUM(K4:K19)=0,"",U19/SUM(K4:K19))</f>
        <v/>
      </c>
    </row>
    <row r="20" ht="18" customHeight="1">
      <c r="A20" s="8" t="n">
        <v>46463</v>
      </c>
      <c r="B20" s="9" t="inlineStr">
        <is>
          <t>水</t>
        </is>
      </c>
      <c r="C20" s="9" t="n"/>
      <c r="D20" s="10" t="n"/>
      <c r="E20" s="11" t="n"/>
      <c r="F20" s="11">
        <f>SUM(E4:E20)</f>
        <v/>
      </c>
      <c r="G20" s="11" t="n"/>
      <c r="H20" s="11">
        <f>SUM(G4:G20)</f>
        <v/>
      </c>
      <c r="I20" s="12">
        <f>IF(E20=0,"",G20/E20)</f>
        <v/>
      </c>
      <c r="J20" s="11">
        <f>ROUND(G20*0.1,0)</f>
        <v/>
      </c>
      <c r="K20" s="11">
        <f>G20+J20</f>
        <v/>
      </c>
      <c r="L20" s="11" t="n"/>
      <c r="M20" s="11">
        <f>SUM(L4:L20)</f>
        <v/>
      </c>
      <c r="N20" s="11">
        <f>IF(L20=0,"",ROUND(G20/L20,0))</f>
        <v/>
      </c>
      <c r="O20" s="11" t="n"/>
      <c r="P20" s="11">
        <f>SUM(O4:O20)</f>
        <v/>
      </c>
      <c r="Q20" s="11" t="n"/>
      <c r="R20" s="11" t="n"/>
      <c r="S20" s="11" t="n"/>
      <c r="T20" s="11">
        <f>Q20+R20+S20</f>
        <v/>
      </c>
      <c r="U20" s="11">
        <f>SUM(T4:T20)</f>
        <v/>
      </c>
      <c r="V20" s="13">
        <f>IF(SUM(K4:K20)=0,"",U20/SUM(K4:K20))</f>
        <v/>
      </c>
    </row>
    <row r="21" ht="18" customHeight="1">
      <c r="A21" s="14" t="n">
        <v>46464</v>
      </c>
      <c r="B21" s="15" t="inlineStr">
        <is>
          <t>木</t>
        </is>
      </c>
      <c r="C21" s="15" t="n"/>
      <c r="D21" s="16" t="n"/>
      <c r="E21" s="17" t="n"/>
      <c r="F21" s="17">
        <f>SUM(E4:E21)</f>
        <v/>
      </c>
      <c r="G21" s="17" t="n"/>
      <c r="H21" s="17">
        <f>SUM(G4:G21)</f>
        <v/>
      </c>
      <c r="I21" s="18">
        <f>IF(E21=0,"",G21/E21)</f>
        <v/>
      </c>
      <c r="J21" s="17">
        <f>ROUND(G21*0.1,0)</f>
        <v/>
      </c>
      <c r="K21" s="17">
        <f>G21+J21</f>
        <v/>
      </c>
      <c r="L21" s="17" t="n"/>
      <c r="M21" s="17">
        <f>SUM(L4:L21)</f>
        <v/>
      </c>
      <c r="N21" s="17">
        <f>IF(L21=0,"",ROUND(G21/L21,0))</f>
        <v/>
      </c>
      <c r="O21" s="17" t="n"/>
      <c r="P21" s="17">
        <f>SUM(O4:O21)</f>
        <v/>
      </c>
      <c r="Q21" s="17" t="n"/>
      <c r="R21" s="17" t="n"/>
      <c r="S21" s="17" t="n"/>
      <c r="T21" s="17">
        <f>Q21+R21+S21</f>
        <v/>
      </c>
      <c r="U21" s="17">
        <f>SUM(T4:T21)</f>
        <v/>
      </c>
      <c r="V21" s="19">
        <f>IF(SUM(K4:K21)=0,"",U21/SUM(K4:K21))</f>
        <v/>
      </c>
    </row>
    <row r="22" ht="18" customHeight="1">
      <c r="A22" s="8" t="n">
        <v>46465</v>
      </c>
      <c r="B22" s="9" t="inlineStr">
        <is>
          <t>金</t>
        </is>
      </c>
      <c r="C22" s="9" t="n"/>
      <c r="D22" s="10" t="n"/>
      <c r="E22" s="11" t="n"/>
      <c r="F22" s="11">
        <f>SUM(E4:E22)</f>
        <v/>
      </c>
      <c r="G22" s="11" t="n"/>
      <c r="H22" s="11">
        <f>SUM(G4:G22)</f>
        <v/>
      </c>
      <c r="I22" s="12">
        <f>IF(E22=0,"",G22/E22)</f>
        <v/>
      </c>
      <c r="J22" s="11">
        <f>ROUND(G22*0.1,0)</f>
        <v/>
      </c>
      <c r="K22" s="11">
        <f>G22+J22</f>
        <v/>
      </c>
      <c r="L22" s="11" t="n"/>
      <c r="M22" s="11">
        <f>SUM(L4:L22)</f>
        <v/>
      </c>
      <c r="N22" s="11">
        <f>IF(L22=0,"",ROUND(G22/L22,0))</f>
        <v/>
      </c>
      <c r="O22" s="11" t="n"/>
      <c r="P22" s="11">
        <f>SUM(O4:O22)</f>
        <v/>
      </c>
      <c r="Q22" s="11" t="n"/>
      <c r="R22" s="11" t="n"/>
      <c r="S22" s="11" t="n"/>
      <c r="T22" s="11">
        <f>Q22+R22+S22</f>
        <v/>
      </c>
      <c r="U22" s="11">
        <f>SUM(T4:T22)</f>
        <v/>
      </c>
      <c r="V22" s="13">
        <f>IF(SUM(K4:K22)=0,"",U22/SUM(K4:K22))</f>
        <v/>
      </c>
    </row>
    <row r="23" ht="18" customHeight="1">
      <c r="A23" s="20" t="n">
        <v>46466</v>
      </c>
      <c r="B23" s="21" t="inlineStr">
        <is>
          <t>土</t>
        </is>
      </c>
      <c r="C23" s="22" t="n"/>
      <c r="D23" s="23" t="n"/>
      <c r="E23" s="24" t="n"/>
      <c r="F23" s="24">
        <f>SUM(E4:E23)</f>
        <v/>
      </c>
      <c r="G23" s="24" t="n"/>
      <c r="H23" s="24">
        <f>SUM(G4:G23)</f>
        <v/>
      </c>
      <c r="I23" s="25">
        <f>IF(E23=0,"",G23/E23)</f>
        <v/>
      </c>
      <c r="J23" s="24">
        <f>ROUND(G23*0.1,0)</f>
        <v/>
      </c>
      <c r="K23" s="24">
        <f>G23+J23</f>
        <v/>
      </c>
      <c r="L23" s="24" t="n"/>
      <c r="M23" s="24">
        <f>SUM(L4:L23)</f>
        <v/>
      </c>
      <c r="N23" s="24">
        <f>IF(L23=0,"",ROUND(G23/L23,0))</f>
        <v/>
      </c>
      <c r="O23" s="24" t="n"/>
      <c r="P23" s="24">
        <f>SUM(O4:O23)</f>
        <v/>
      </c>
      <c r="Q23" s="24" t="n"/>
      <c r="R23" s="24" t="n"/>
      <c r="S23" s="24" t="n"/>
      <c r="T23" s="24">
        <f>Q23+R23+S23</f>
        <v/>
      </c>
      <c r="U23" s="24">
        <f>SUM(T4:T23)</f>
        <v/>
      </c>
      <c r="V23" s="26">
        <f>IF(SUM(K4:K23)=0,"",U23/SUM(K4:K23))</f>
        <v/>
      </c>
    </row>
    <row r="24" ht="18" customHeight="1">
      <c r="A24" s="27" t="n">
        <v>46467</v>
      </c>
      <c r="B24" s="28" t="inlineStr">
        <is>
          <t>日</t>
        </is>
      </c>
      <c r="C24" s="29" t="n"/>
      <c r="D24" s="30" t="n"/>
      <c r="E24" s="31" t="n"/>
      <c r="F24" s="31">
        <f>SUM(E4:E24)</f>
        <v/>
      </c>
      <c r="G24" s="31" t="n"/>
      <c r="H24" s="31">
        <f>SUM(G4:G24)</f>
        <v/>
      </c>
      <c r="I24" s="32">
        <f>IF(E24=0,"",G24/E24)</f>
        <v/>
      </c>
      <c r="J24" s="31">
        <f>ROUND(G24*0.1,0)</f>
        <v/>
      </c>
      <c r="K24" s="31">
        <f>G24+J24</f>
        <v/>
      </c>
      <c r="L24" s="31" t="n"/>
      <c r="M24" s="31">
        <f>SUM(L4:L24)</f>
        <v/>
      </c>
      <c r="N24" s="31">
        <f>IF(L24=0,"",ROUND(G24/L24,0))</f>
        <v/>
      </c>
      <c r="O24" s="31" t="n"/>
      <c r="P24" s="31">
        <f>SUM(O4:O24)</f>
        <v/>
      </c>
      <c r="Q24" s="31" t="n"/>
      <c r="R24" s="31" t="n"/>
      <c r="S24" s="31" t="n"/>
      <c r="T24" s="31">
        <f>Q24+R24+S24</f>
        <v/>
      </c>
      <c r="U24" s="31">
        <f>SUM(T4:T24)</f>
        <v/>
      </c>
      <c r="V24" s="33">
        <f>IF(SUM(K4:K24)=0,"",U24/SUM(K4:K24))</f>
        <v/>
      </c>
    </row>
    <row r="25" ht="18" customHeight="1">
      <c r="A25" s="14" t="n">
        <v>46468</v>
      </c>
      <c r="B25" s="15" t="inlineStr">
        <is>
          <t>月</t>
        </is>
      </c>
      <c r="C25" s="15" t="n"/>
      <c r="D25" s="16" t="n"/>
      <c r="E25" s="17" t="n"/>
      <c r="F25" s="17">
        <f>SUM(E4:E25)</f>
        <v/>
      </c>
      <c r="G25" s="17" t="n"/>
      <c r="H25" s="17">
        <f>SUM(G4:G25)</f>
        <v/>
      </c>
      <c r="I25" s="18">
        <f>IF(E25=0,"",G25/E25)</f>
        <v/>
      </c>
      <c r="J25" s="17">
        <f>ROUND(G25*0.1,0)</f>
        <v/>
      </c>
      <c r="K25" s="17">
        <f>G25+J25</f>
        <v/>
      </c>
      <c r="L25" s="17" t="n"/>
      <c r="M25" s="17">
        <f>SUM(L4:L25)</f>
        <v/>
      </c>
      <c r="N25" s="17">
        <f>IF(L25=0,"",ROUND(G25/L25,0))</f>
        <v/>
      </c>
      <c r="O25" s="17" t="n"/>
      <c r="P25" s="17">
        <f>SUM(O4:O25)</f>
        <v/>
      </c>
      <c r="Q25" s="17" t="n"/>
      <c r="R25" s="17" t="n"/>
      <c r="S25" s="17" t="n"/>
      <c r="T25" s="17">
        <f>Q25+R25+S25</f>
        <v/>
      </c>
      <c r="U25" s="17">
        <f>SUM(T4:T25)</f>
        <v/>
      </c>
      <c r="V25" s="19">
        <f>IF(SUM(K4:K25)=0,"",U25/SUM(K4:K25))</f>
        <v/>
      </c>
    </row>
    <row r="26" ht="18" customHeight="1">
      <c r="A26" s="8" t="n">
        <v>46469</v>
      </c>
      <c r="B26" s="9" t="inlineStr">
        <is>
          <t>火</t>
        </is>
      </c>
      <c r="C26" s="9" t="n"/>
      <c r="D26" s="10" t="n"/>
      <c r="E26" s="11" t="n"/>
      <c r="F26" s="11">
        <f>SUM(E4:E26)</f>
        <v/>
      </c>
      <c r="G26" s="11" t="n"/>
      <c r="H26" s="11">
        <f>SUM(G4:G26)</f>
        <v/>
      </c>
      <c r="I26" s="12">
        <f>IF(E26=0,"",G26/E26)</f>
        <v/>
      </c>
      <c r="J26" s="11">
        <f>ROUND(G26*0.1,0)</f>
        <v/>
      </c>
      <c r="K26" s="11">
        <f>G26+J26</f>
        <v/>
      </c>
      <c r="L26" s="11" t="n"/>
      <c r="M26" s="11">
        <f>SUM(L4:L26)</f>
        <v/>
      </c>
      <c r="N26" s="11">
        <f>IF(L26=0,"",ROUND(G26/L26,0))</f>
        <v/>
      </c>
      <c r="O26" s="11" t="n"/>
      <c r="P26" s="11">
        <f>SUM(O4:O26)</f>
        <v/>
      </c>
      <c r="Q26" s="11" t="n"/>
      <c r="R26" s="11" t="n"/>
      <c r="S26" s="11" t="n"/>
      <c r="T26" s="11">
        <f>Q26+R26+S26</f>
        <v/>
      </c>
      <c r="U26" s="11">
        <f>SUM(T4:T26)</f>
        <v/>
      </c>
      <c r="V26" s="13">
        <f>IF(SUM(K4:K26)=0,"",U26/SUM(K4:K26))</f>
        <v/>
      </c>
    </row>
    <row r="27" ht="18" customHeight="1">
      <c r="A27" s="14" t="n">
        <v>46470</v>
      </c>
      <c r="B27" s="15" t="inlineStr">
        <is>
          <t>水</t>
        </is>
      </c>
      <c r="C27" s="15" t="n"/>
      <c r="D27" s="16" t="n"/>
      <c r="E27" s="17" t="n"/>
      <c r="F27" s="17">
        <f>SUM(E4:E27)</f>
        <v/>
      </c>
      <c r="G27" s="17" t="n"/>
      <c r="H27" s="17">
        <f>SUM(G4:G27)</f>
        <v/>
      </c>
      <c r="I27" s="18">
        <f>IF(E27=0,"",G27/E27)</f>
        <v/>
      </c>
      <c r="J27" s="17">
        <f>ROUND(G27*0.1,0)</f>
        <v/>
      </c>
      <c r="K27" s="17">
        <f>G27+J27</f>
        <v/>
      </c>
      <c r="L27" s="17" t="n"/>
      <c r="M27" s="17">
        <f>SUM(L4:L27)</f>
        <v/>
      </c>
      <c r="N27" s="17">
        <f>IF(L27=0,"",ROUND(G27/L27,0))</f>
        <v/>
      </c>
      <c r="O27" s="17" t="n"/>
      <c r="P27" s="17">
        <f>SUM(O4:O27)</f>
        <v/>
      </c>
      <c r="Q27" s="17" t="n"/>
      <c r="R27" s="17" t="n"/>
      <c r="S27" s="17" t="n"/>
      <c r="T27" s="17">
        <f>Q27+R27+S27</f>
        <v/>
      </c>
      <c r="U27" s="17">
        <f>SUM(T4:T27)</f>
        <v/>
      </c>
      <c r="V27" s="19">
        <f>IF(SUM(K4:K27)=0,"",U27/SUM(K4:K27))</f>
        <v/>
      </c>
    </row>
    <row r="28" ht="18" customHeight="1">
      <c r="A28" s="8" t="n">
        <v>46471</v>
      </c>
      <c r="B28" s="9" t="inlineStr">
        <is>
          <t>木</t>
        </is>
      </c>
      <c r="C28" s="9" t="n"/>
      <c r="D28" s="10" t="n"/>
      <c r="E28" s="11" t="n"/>
      <c r="F28" s="11">
        <f>SUM(E4:E28)</f>
        <v/>
      </c>
      <c r="G28" s="11" t="n"/>
      <c r="H28" s="11">
        <f>SUM(G4:G28)</f>
        <v/>
      </c>
      <c r="I28" s="12">
        <f>IF(E28=0,"",G28/E28)</f>
        <v/>
      </c>
      <c r="J28" s="11">
        <f>ROUND(G28*0.1,0)</f>
        <v/>
      </c>
      <c r="K28" s="11">
        <f>G28+J28</f>
        <v/>
      </c>
      <c r="L28" s="11" t="n"/>
      <c r="M28" s="11">
        <f>SUM(L4:L28)</f>
        <v/>
      </c>
      <c r="N28" s="11">
        <f>IF(L28=0,"",ROUND(G28/L28,0))</f>
        <v/>
      </c>
      <c r="O28" s="11" t="n"/>
      <c r="P28" s="11">
        <f>SUM(O4:O28)</f>
        <v/>
      </c>
      <c r="Q28" s="11" t="n"/>
      <c r="R28" s="11" t="n"/>
      <c r="S28" s="11" t="n"/>
      <c r="T28" s="11">
        <f>Q28+R28+S28</f>
        <v/>
      </c>
      <c r="U28" s="11">
        <f>SUM(T4:T28)</f>
        <v/>
      </c>
      <c r="V28" s="13">
        <f>IF(SUM(K4:K28)=0,"",U28/SUM(K4:K28))</f>
        <v/>
      </c>
    </row>
    <row r="29" ht="18" customHeight="1">
      <c r="A29" s="14" t="n">
        <v>46472</v>
      </c>
      <c r="B29" s="15" t="inlineStr">
        <is>
          <t>金</t>
        </is>
      </c>
      <c r="C29" s="15" t="n"/>
      <c r="D29" s="16" t="n"/>
      <c r="E29" s="17" t="n"/>
      <c r="F29" s="17">
        <f>SUM(E4:E29)</f>
        <v/>
      </c>
      <c r="G29" s="17" t="n"/>
      <c r="H29" s="17">
        <f>SUM(G4:G29)</f>
        <v/>
      </c>
      <c r="I29" s="18">
        <f>IF(E29=0,"",G29/E29)</f>
        <v/>
      </c>
      <c r="J29" s="17">
        <f>ROUND(G29*0.1,0)</f>
        <v/>
      </c>
      <c r="K29" s="17">
        <f>G29+J29</f>
        <v/>
      </c>
      <c r="L29" s="17" t="n"/>
      <c r="M29" s="17">
        <f>SUM(L4:L29)</f>
        <v/>
      </c>
      <c r="N29" s="17">
        <f>IF(L29=0,"",ROUND(G29/L29,0))</f>
        <v/>
      </c>
      <c r="O29" s="17" t="n"/>
      <c r="P29" s="17">
        <f>SUM(O4:O29)</f>
        <v/>
      </c>
      <c r="Q29" s="17" t="n"/>
      <c r="R29" s="17" t="n"/>
      <c r="S29" s="17" t="n"/>
      <c r="T29" s="17">
        <f>Q29+R29+S29</f>
        <v/>
      </c>
      <c r="U29" s="17">
        <f>SUM(T4:T29)</f>
        <v/>
      </c>
      <c r="V29" s="19">
        <f>IF(SUM(K4:K29)=0,"",U29/SUM(K4:K29))</f>
        <v/>
      </c>
    </row>
    <row r="30" ht="18" customHeight="1">
      <c r="A30" s="20" t="n">
        <v>46473</v>
      </c>
      <c r="B30" s="21" t="inlineStr">
        <is>
          <t>土</t>
        </is>
      </c>
      <c r="C30" s="22" t="n"/>
      <c r="D30" s="23" t="n"/>
      <c r="E30" s="24" t="n"/>
      <c r="F30" s="24">
        <f>SUM(E4:E30)</f>
        <v/>
      </c>
      <c r="G30" s="24" t="n"/>
      <c r="H30" s="24">
        <f>SUM(G4:G30)</f>
        <v/>
      </c>
      <c r="I30" s="25">
        <f>IF(E30=0,"",G30/E30)</f>
        <v/>
      </c>
      <c r="J30" s="24">
        <f>ROUND(G30*0.1,0)</f>
        <v/>
      </c>
      <c r="K30" s="24">
        <f>G30+J30</f>
        <v/>
      </c>
      <c r="L30" s="24" t="n"/>
      <c r="M30" s="24">
        <f>SUM(L4:L30)</f>
        <v/>
      </c>
      <c r="N30" s="24">
        <f>IF(L30=0,"",ROUND(G30/L30,0))</f>
        <v/>
      </c>
      <c r="O30" s="24" t="n"/>
      <c r="P30" s="24">
        <f>SUM(O4:O30)</f>
        <v/>
      </c>
      <c r="Q30" s="24" t="n"/>
      <c r="R30" s="24" t="n"/>
      <c r="S30" s="24" t="n"/>
      <c r="T30" s="24">
        <f>Q30+R30+S30</f>
        <v/>
      </c>
      <c r="U30" s="24">
        <f>SUM(T4:T30)</f>
        <v/>
      </c>
      <c r="V30" s="26">
        <f>IF(SUM(K4:K30)=0,"",U30/SUM(K4:K30))</f>
        <v/>
      </c>
    </row>
    <row r="31" ht="18" customHeight="1">
      <c r="A31" s="27" t="n">
        <v>46474</v>
      </c>
      <c r="B31" s="28" t="inlineStr">
        <is>
          <t>日</t>
        </is>
      </c>
      <c r="C31" s="29" t="n"/>
      <c r="D31" s="30" t="n"/>
      <c r="E31" s="31" t="n"/>
      <c r="F31" s="31">
        <f>SUM(E4:E31)</f>
        <v/>
      </c>
      <c r="G31" s="31" t="n"/>
      <c r="H31" s="31">
        <f>SUM(G4:G31)</f>
        <v/>
      </c>
      <c r="I31" s="32">
        <f>IF(E31=0,"",G31/E31)</f>
        <v/>
      </c>
      <c r="J31" s="31">
        <f>ROUND(G31*0.1,0)</f>
        <v/>
      </c>
      <c r="K31" s="31">
        <f>G31+J31</f>
        <v/>
      </c>
      <c r="L31" s="31" t="n"/>
      <c r="M31" s="31">
        <f>SUM(L4:L31)</f>
        <v/>
      </c>
      <c r="N31" s="31">
        <f>IF(L31=0,"",ROUND(G31/L31,0))</f>
        <v/>
      </c>
      <c r="O31" s="31" t="n"/>
      <c r="P31" s="31">
        <f>SUM(O4:O31)</f>
        <v/>
      </c>
      <c r="Q31" s="31" t="n"/>
      <c r="R31" s="31" t="n"/>
      <c r="S31" s="31" t="n"/>
      <c r="T31" s="31">
        <f>Q31+R31+S31</f>
        <v/>
      </c>
      <c r="U31" s="31">
        <f>SUM(T4:T31)</f>
        <v/>
      </c>
      <c r="V31" s="33">
        <f>IF(SUM(K4:K31)=0,"",U31/SUM(K4:K31))</f>
        <v/>
      </c>
    </row>
    <row r="32" ht="18" customHeight="1">
      <c r="A32" s="8" t="n">
        <v>46475</v>
      </c>
      <c r="B32" s="9" t="inlineStr">
        <is>
          <t>月</t>
        </is>
      </c>
      <c r="C32" s="9" t="n"/>
      <c r="D32" s="10" t="n"/>
      <c r="E32" s="11" t="n"/>
      <c r="F32" s="11">
        <f>SUM(E4:E32)</f>
        <v/>
      </c>
      <c r="G32" s="11" t="n"/>
      <c r="H32" s="11">
        <f>SUM(G4:G32)</f>
        <v/>
      </c>
      <c r="I32" s="12">
        <f>IF(E32=0,"",G32/E32)</f>
        <v/>
      </c>
      <c r="J32" s="11">
        <f>ROUND(G32*0.1,0)</f>
        <v/>
      </c>
      <c r="K32" s="11">
        <f>G32+J32</f>
        <v/>
      </c>
      <c r="L32" s="11" t="n"/>
      <c r="M32" s="11">
        <f>SUM(L4:L32)</f>
        <v/>
      </c>
      <c r="N32" s="11">
        <f>IF(L32=0,"",ROUND(G32/L32,0))</f>
        <v/>
      </c>
      <c r="O32" s="11" t="n"/>
      <c r="P32" s="11">
        <f>SUM(O4:O32)</f>
        <v/>
      </c>
      <c r="Q32" s="11" t="n"/>
      <c r="R32" s="11" t="n"/>
      <c r="S32" s="11" t="n"/>
      <c r="T32" s="11">
        <f>Q32+R32+S32</f>
        <v/>
      </c>
      <c r="U32" s="11">
        <f>SUM(T4:T32)</f>
        <v/>
      </c>
      <c r="V32" s="13">
        <f>IF(SUM(K4:K32)=0,"",U32/SUM(K4:K32))</f>
        <v/>
      </c>
    </row>
    <row r="33" ht="18" customHeight="1">
      <c r="A33" s="14" t="n">
        <v>46476</v>
      </c>
      <c r="B33" s="15" t="inlineStr">
        <is>
          <t>火</t>
        </is>
      </c>
      <c r="C33" s="15" t="n"/>
      <c r="D33" s="16" t="n"/>
      <c r="E33" s="17" t="n"/>
      <c r="F33" s="17">
        <f>SUM(E4:E33)</f>
        <v/>
      </c>
      <c r="G33" s="17" t="n"/>
      <c r="H33" s="17">
        <f>SUM(G4:G33)</f>
        <v/>
      </c>
      <c r="I33" s="18">
        <f>IF(E33=0,"",G33/E33)</f>
        <v/>
      </c>
      <c r="J33" s="17">
        <f>ROUND(G33*0.1,0)</f>
        <v/>
      </c>
      <c r="K33" s="17">
        <f>G33+J33</f>
        <v/>
      </c>
      <c r="L33" s="17" t="n"/>
      <c r="M33" s="17">
        <f>SUM(L4:L33)</f>
        <v/>
      </c>
      <c r="N33" s="17">
        <f>IF(L33=0,"",ROUND(G33/L33,0))</f>
        <v/>
      </c>
      <c r="O33" s="17" t="n"/>
      <c r="P33" s="17">
        <f>SUM(O4:O33)</f>
        <v/>
      </c>
      <c r="Q33" s="17" t="n"/>
      <c r="R33" s="17" t="n"/>
      <c r="S33" s="17" t="n"/>
      <c r="T33" s="17">
        <f>Q33+R33+S33</f>
        <v/>
      </c>
      <c r="U33" s="17">
        <f>SUM(T4:T33)</f>
        <v/>
      </c>
      <c r="V33" s="19">
        <f>IF(SUM(K4:K33)=0,"",U33/SUM(K4:K33))</f>
        <v/>
      </c>
    </row>
    <row r="34" ht="18" customHeight="1">
      <c r="A34" s="8" t="n">
        <v>46477</v>
      </c>
      <c r="B34" s="9" t="inlineStr">
        <is>
          <t>水</t>
        </is>
      </c>
      <c r="C34" s="9" t="n"/>
      <c r="D34" s="10" t="n"/>
      <c r="E34" s="11" t="n"/>
      <c r="F34" s="11">
        <f>SUM(E4:E34)</f>
        <v/>
      </c>
      <c r="G34" s="11" t="n"/>
      <c r="H34" s="11">
        <f>SUM(G4:G34)</f>
        <v/>
      </c>
      <c r="I34" s="12">
        <f>IF(E34=0,"",G34/E34)</f>
        <v/>
      </c>
      <c r="J34" s="11">
        <f>ROUND(G34*0.1,0)</f>
        <v/>
      </c>
      <c r="K34" s="11">
        <f>G34+J34</f>
        <v/>
      </c>
      <c r="L34" s="11" t="n"/>
      <c r="M34" s="11">
        <f>SUM(L4:L34)</f>
        <v/>
      </c>
      <c r="N34" s="11">
        <f>IF(L34=0,"",ROUND(G34/L34,0))</f>
        <v/>
      </c>
      <c r="O34" s="11" t="n"/>
      <c r="P34" s="11">
        <f>SUM(O4:O34)</f>
        <v/>
      </c>
      <c r="Q34" s="11" t="n"/>
      <c r="R34" s="11" t="n"/>
      <c r="S34" s="11" t="n"/>
      <c r="T34" s="11">
        <f>Q34+R34+S34</f>
        <v/>
      </c>
      <c r="U34" s="11">
        <f>SUM(T4:T34)</f>
        <v/>
      </c>
      <c r="V34" s="13">
        <f>IF(SUM(K4:K34)=0,"",U34/SUM(K4:K34))</f>
        <v/>
      </c>
    </row>
    <row r="35" ht="22" customHeight="1">
      <c r="A35" s="34" t="inlineStr">
        <is>
          <t>月　合　計</t>
        </is>
      </c>
      <c r="E35" s="35">
        <f>SUM(E4:E34)</f>
        <v/>
      </c>
      <c r="F35" s="35">
        <f>F34</f>
        <v/>
      </c>
      <c r="G35" s="35">
        <f>SUM(G4:G34)</f>
        <v/>
      </c>
      <c r="H35" s="35">
        <f>H34</f>
        <v/>
      </c>
      <c r="I35" s="36">
        <f>IF(E35=0,"",G35/E35)</f>
        <v/>
      </c>
      <c r="J35" s="35">
        <f>ROUND(G35*0.1,0)</f>
        <v/>
      </c>
      <c r="K35" s="35">
        <f>G35+J35</f>
        <v/>
      </c>
      <c r="L35" s="35">
        <f>SUM(L4:L34)</f>
        <v/>
      </c>
      <c r="M35" s="35">
        <f>M34</f>
        <v/>
      </c>
      <c r="N35" s="35">
        <f>IF(L35=0,"",ROUND(G35/L35,0))</f>
        <v/>
      </c>
      <c r="O35" s="35">
        <f>SUM(O4:O34)</f>
        <v/>
      </c>
      <c r="P35" s="35">
        <f>P34</f>
        <v/>
      </c>
      <c r="Q35" s="35">
        <f>SUM(Q4:Q34)</f>
        <v/>
      </c>
      <c r="R35" s="35">
        <f>SUM(R4:R34)</f>
        <v/>
      </c>
      <c r="S35" s="35">
        <f>SUM(S4:S34)</f>
        <v/>
      </c>
      <c r="T35" s="35">
        <f>SUM(T4:T34)</f>
        <v/>
      </c>
      <c r="U35" s="35">
        <f>U34</f>
        <v/>
      </c>
      <c r="V35" s="37">
        <f>IF(K35=0,"",T35/K35)</f>
        <v/>
      </c>
    </row>
    <row r="37">
      <c r="A37" s="38" t="inlineStr">
        <is>
          <t>【凡例】</t>
        </is>
      </c>
    </row>
    <row r="38">
      <c r="A38" s="39" t="inlineStr">
        <is>
          <t>■ 青背景：土曜日</t>
        </is>
      </c>
    </row>
    <row r="39">
      <c r="A39" s="40" t="inlineStr">
        <is>
          <t>■ 赤背景：日曜日</t>
        </is>
      </c>
    </row>
    <row r="40">
      <c r="A40" s="41" t="inlineStr">
        <is>
          <t>■ 緑ヘッダー：従業員入力欄</t>
        </is>
      </c>
    </row>
    <row r="41">
      <c r="A41" s="42" t="inlineStr">
        <is>
          <t>■ グレーヘッダー：自動計算欄（入力不要）</t>
        </is>
      </c>
    </row>
  </sheetData>
  <mergeCells count="7">
    <mergeCell ref="E2:J2"/>
    <mergeCell ref="Q2:U2"/>
    <mergeCell ref="A35:D35"/>
    <mergeCell ref="A1:V1"/>
    <mergeCell ref="L2:O2"/>
    <mergeCell ref="B2:B3"/>
    <mergeCell ref="A2:A3"/>
  </mergeCells>
  <dataValidations count="3">
    <dataValidation sqref="C4 C5 C6 C7 C8 C9 C10 C11 C12 C13 C14 C15 C16 C17 C18 C19 C20 C21 C22 C23 C24 C25 C26 C27 C28 C29 C30 C31 C32 C33 C34" showDropDown="0" showInputMessage="0" showErrorMessage="1" allowBlank="1" errorTitle="入力エラー" error="リストから選択してください" type="list">
      <formula1>"晴れ,曇り,雨,雪,晴れ/曇り,曇り/雨"</formula1>
    </dataValidation>
    <dataValidation sqref="D4 D5 D6 D7 D8 D9 D10 D11 D12 D13 D14 D15 D16 D17 D18 D19 D20 D21 D22 D23 D24 D25 D26 D27 D28 D29 D30 D31 D32 D33 D34" showDropDown="0" showInputMessage="0" showErrorMessage="1" allowBlank="1" errorTitle="入力エラー" error="数値を入力（-50〜60）" type="decimal" operator="between">
      <formula1>-50</formula1>
      <formula2>60</formula2>
    </dataValidation>
    <dataValidation sqref="E4 E5 E6 E7 E8 E9 E10 E11 E12 E13 E14 E15 E16 E17 E18 E19 E20 E21 E22 E23 E24 E25 E26 E27 E28 E29 E30 E31 E32 E33 E34 G4 G5 G6 G7 G8 G9 G10 G11 G12 G13 G14 G15 G16 G17 G18 G19 G20 G21 G22 G23 G24 G25 G26 G27 G28 G29 G30 G31 G32 G33 G34 L4 L5 L6 L7 L8 L9 L10 L11 L12 L13 L14 L15 L16 L17 L18 L19 L20 L21 L22 L23 L24 L25 L26 L27 L28 L29 L30 L31 L32 L33 L34 O4 O5 O6 O7 O8 O9 O10 O11 O12 O13 O14 O15 O16 O17 O18 O19 O20 O21 O22 O23 O24 O25 O26 O27 O28 O29 O30 O31 O32 O33 O34 Q4 Q5 Q6 Q7 Q8 Q9 Q10 Q11 Q12 Q13 Q14 Q15 Q16 Q17 Q18 Q19 Q20 Q21 Q22 Q23 Q24 Q25 Q26 Q27 Q28 Q29 Q30 Q31 Q32 Q33 Q34 R4 R5 R6 R7 R8 R9 R10 R11 R12 R13 R14 R15 R16 R17 R18 R19 R20 R21 R22 R23 R24 R25 R26 R27 R28 R29 R30 R31 R32 R33 R34 S4 S5 S6 S7 S8 S9 S10 S11 S12 S13 S14 S15 S16 S17 S18 S19 S20 S21 S22 S23 S24 S25 S26 S27 S28 S29 S30 S31 S32 S33 S34" showDropDown="0" showInputMessage="0" showErrorMessage="1" allowBlank="1" errorTitle="入力エラー" error="0以上の整数を入力" type="whole" operator="greaterThanOrEqual">
      <formula1>0</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2026-03-31T01:11:10Z</dcterms:created>
  <dcterms:modified xsi:type="dcterms:W3CDTF">2026-03-31T01:11:11Z</dcterms:modified>
</cp:coreProperties>
</file>